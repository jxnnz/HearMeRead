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UM6o5XEEDNoWpHlMWzb1bJGU4gbXbasM5m/sneL1Gcr8P/H3OSNzgyqyPM4OqFNZ5JfDXnEcmlQcWC2ZloHBEw==" workbookSaltValue="vEIAN6k6frO5Mt7ovYGLoQ==" workbookSpinCount="100000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G2 MT Reading Scoresheet" sheetId="1" state="visible" r:id="rId1"/>
    <sheet xmlns:r="http://schemas.openxmlformats.org/officeDocument/2006/relationships" name="G2 FIL Reading Scoresheet" sheetId="2" state="visible" r:id="rId2"/>
    <sheet xmlns:r="http://schemas.openxmlformats.org/officeDocument/2006/relationships" name="Class Record" sheetId="3" state="visible" r:id="rId3"/>
    <sheet xmlns:r="http://schemas.openxmlformats.org/officeDocument/2006/relationships" name="Class Summary" sheetId="4" state="visible" r:id="rId4"/>
    <sheet xmlns:r="http://schemas.openxmlformats.org/officeDocument/2006/relationships" name="Scoring Reference" sheetId="5" state="visible" r:id="rId5"/>
    <sheet xmlns:r="http://schemas.openxmlformats.org/officeDocument/2006/relationships" name="List" sheetId="6" state="hidden" r:id="rId6"/>
  </sheets>
  <definedNames>
    <definedName name="_xlnm._FilterDatabase" localSheetId="0" hidden="1">'G2 MT Reading Scoresheet'!$C$10:$U$110</definedName>
    <definedName name="_xlnm._FilterDatabase" localSheetId="1" hidden="1">'G2 FIL Reading Scoresheet'!$B$10:$U$10</definedName>
    <definedName name="_xlnm._FilterDatabase" localSheetId="2" hidden="1">'Class Record'!$A$8:$R$8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8"/>
    </font>
    <font>
      <name val="Arial"/>
      <family val="2"/>
      <color theme="1"/>
      <sz val="9"/>
    </font>
    <font>
      <name val="Arial"/>
      <family val="2"/>
      <b val="1"/>
      <color theme="0"/>
      <sz val="12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Arial"/>
      <family val="2"/>
      <b val="1"/>
      <sz val="10"/>
    </font>
    <font>
      <name val="Arial"/>
      <family val="2"/>
      <b val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8"/>
      <scheme val="minor"/>
    </font>
    <font>
      <name val="Arial"/>
      <family val="2"/>
      <b val="1"/>
      <color theme="0"/>
      <sz val="14"/>
    </font>
    <font>
      <name val="Calibri"/>
      <family val="2"/>
      <color rgb="FFFF0000"/>
      <sz val="11"/>
      <scheme val="minor"/>
    </font>
    <font>
      <name val="Arial"/>
      <family val="2"/>
      <b val="1"/>
      <sz val="8"/>
    </font>
    <font>
      <name val="Arial"/>
      <family val="2"/>
      <b val="1"/>
      <color theme="1"/>
      <sz val="8"/>
    </font>
    <font>
      <name val="Arial"/>
      <family val="2"/>
      <i val="1"/>
      <sz val="10"/>
    </font>
    <font>
      <name val="Arial"/>
      <family val="2"/>
      <i val="1"/>
      <color theme="1"/>
      <sz val="10"/>
    </font>
    <font>
      <name val="Arial"/>
      <family val="2"/>
      <color theme="1"/>
      <sz val="11"/>
    </font>
    <font>
      <name val="Arial"/>
      <family val="2"/>
      <b val="1"/>
      <i val="1"/>
      <color theme="1"/>
      <sz val="8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6"/>
      <scheme val="minor"/>
    </font>
  </fonts>
  <fills count="1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11" fillId="0" borderId="0"/>
    <xf numFmtId="9" fontId="11" fillId="0" borderId="0"/>
  </cellStyleXfs>
  <cellXfs count="36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4" borderId="8" pivotButton="0" quotePrefix="0" xfId="0"/>
    <xf numFmtId="0" fontId="0" fillId="0" borderId="8" pivotButton="0" quotePrefix="0" xfId="0"/>
    <xf numFmtId="0" fontId="0" fillId="4" borderId="7" pivotButton="0" quotePrefix="0" xfId="0"/>
    <xf numFmtId="0" fontId="8" fillId="0" borderId="0" applyAlignment="1" pivotButton="0" quotePrefix="0" xfId="0">
      <alignment horizontal="center"/>
    </xf>
    <xf numFmtId="0" fontId="0" fillId="0" borderId="9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0" borderId="11" pivotButton="0" quotePrefix="0" xfId="0"/>
    <xf numFmtId="0" fontId="6" fillId="8" borderId="8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center" vertical="center"/>
    </xf>
    <xf numFmtId="0" fontId="6" fillId="8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pivotButton="0" quotePrefix="1" xfId="0"/>
    <xf numFmtId="0" fontId="15" fillId="8" borderId="10" applyAlignment="1" applyProtection="1" pivotButton="0" quotePrefix="0" xfId="0">
      <alignment horizontal="center" wrapText="1"/>
      <protection locked="0" hidden="0"/>
    </xf>
    <xf numFmtId="0" fontId="2" fillId="8" borderId="20" applyAlignment="1" pivotButton="0" quotePrefix="0" xfId="0">
      <alignment horizontal="center" vertical="center" wrapText="1"/>
    </xf>
    <xf numFmtId="0" fontId="2" fillId="8" borderId="22" applyAlignment="1" pivotButton="0" quotePrefix="0" xfId="0">
      <alignment horizontal="center" vertical="center" wrapText="1"/>
    </xf>
    <xf numFmtId="0" fontId="10" fillId="8" borderId="21" applyAlignment="1" pivotButton="0" quotePrefix="0" xfId="0">
      <alignment horizontal="center" vertical="center"/>
    </xf>
    <xf numFmtId="0" fontId="10" fillId="8" borderId="22" applyAlignment="1" pivotButton="0" quotePrefix="0" xfId="0">
      <alignment horizontal="center" vertical="center" wrapText="1"/>
    </xf>
    <xf numFmtId="0" fontId="10" fillId="8" borderId="21" applyAlignment="1" pivotButton="0" quotePrefix="0" xfId="0">
      <alignment horizontal="center" vertical="center" wrapText="1"/>
    </xf>
    <xf numFmtId="0" fontId="10" fillId="3" borderId="20" applyAlignment="1" pivotButton="0" quotePrefix="0" xfId="0">
      <alignment horizontal="center" vertical="center" wrapText="1"/>
    </xf>
    <xf numFmtId="0" fontId="12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0">
      <alignment horizontal="center" vertical="center" wrapText="1"/>
    </xf>
    <xf numFmtId="0" fontId="0" fillId="0" borderId="10" applyAlignment="1" applyProtection="1" pivotButton="0" quotePrefix="0" xfId="0">
      <alignment horizontal="center"/>
      <protection locked="0" hidden="0"/>
    </xf>
    <xf numFmtId="9" fontId="0" fillId="0" borderId="9" applyAlignment="1" pivotButton="0" quotePrefix="0" xfId="1">
      <alignment horizontal="center"/>
    </xf>
    <xf numFmtId="9" fontId="0" fillId="0" borderId="9" applyAlignment="1" pivotButton="0" quotePrefix="0" xfId="0">
      <alignment horizontal="center"/>
    </xf>
    <xf numFmtId="0" fontId="1" fillId="4" borderId="7" pivotButton="0" quotePrefix="0" xfId="0"/>
    <xf numFmtId="0" fontId="1" fillId="0" borderId="5" pivotButton="0" quotePrefix="0" xfId="0"/>
    <xf numFmtId="9" fontId="1" fillId="4" borderId="5" applyAlignment="1" pivotButton="0" quotePrefix="0" xfId="0">
      <alignment horizontal="center"/>
    </xf>
    <xf numFmtId="9" fontId="0" fillId="10" borderId="9" applyAlignment="1" pivotButton="0" quotePrefix="0" xfId="1">
      <alignment horizontal="center"/>
    </xf>
    <xf numFmtId="9" fontId="0" fillId="10" borderId="10" applyAlignment="1" pivotButton="0" quotePrefix="0" xfId="1">
      <alignment horizontal="center"/>
    </xf>
    <xf numFmtId="9" fontId="0" fillId="10" borderId="9" applyAlignment="1" pivotButton="0" quotePrefix="0" xfId="0">
      <alignment horizontal="center"/>
    </xf>
    <xf numFmtId="9" fontId="0" fillId="10" borderId="10" applyAlignment="1" pivotButton="0" quotePrefix="0" xfId="0">
      <alignment horizontal="center"/>
    </xf>
    <xf numFmtId="9" fontId="1" fillId="10" borderId="5" applyAlignment="1" pivotButton="0" quotePrefix="0" xfId="0">
      <alignment horizontal="center"/>
    </xf>
    <xf numFmtId="9" fontId="1" fillId="10" borderId="6" applyAlignment="1" pivotButton="0" quotePrefix="0" xfId="0">
      <alignment horizontal="center"/>
    </xf>
    <xf numFmtId="0" fontId="10" fillId="3" borderId="21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0" fontId="0" fillId="4" borderId="8" applyAlignment="1" pivotButton="0" quotePrefix="0" xfId="0">
      <alignment vertical="center"/>
    </xf>
    <xf numFmtId="1" fontId="0" fillId="4" borderId="9" applyAlignment="1" pivotButton="0" quotePrefix="0" xfId="0">
      <alignment horizontal="left" vertical="center"/>
    </xf>
    <xf numFmtId="0" fontId="0" fillId="4" borderId="9" applyAlignment="1" pivotButton="0" quotePrefix="0" xfId="0">
      <alignment vertical="center"/>
    </xf>
    <xf numFmtId="0" fontId="0" fillId="4" borderId="9" applyAlignment="1" pivotButton="0" quotePrefix="0" xfId="0">
      <alignment horizontal="center" vertical="center"/>
    </xf>
    <xf numFmtId="0" fontId="0" fillId="4" borderId="10" applyAlignment="1" pivotButton="0" quotePrefix="0" xfId="0">
      <alignment horizontal="left" vertical="center" wrapText="1"/>
    </xf>
    <xf numFmtId="1" fontId="0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 wrapText="1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 vertical="center" wrapText="1"/>
    </xf>
    <xf numFmtId="0" fontId="6" fillId="13" borderId="9" applyAlignment="1" pivotButton="0" quotePrefix="0" xfId="0">
      <alignment horizontal="center" vertical="center"/>
    </xf>
    <xf numFmtId="1" fontId="0" fillId="13" borderId="9" applyAlignment="1" pivotButton="0" quotePrefix="0" xfId="0">
      <alignment horizontal="center" vertical="center"/>
    </xf>
    <xf numFmtId="1" fontId="0" fillId="13" borderId="5" applyAlignment="1" pivotButton="0" quotePrefix="0" xfId="0">
      <alignment horizontal="center" vertical="center"/>
    </xf>
    <xf numFmtId="0" fontId="10" fillId="3" borderId="27" applyAlignment="1" pivotButton="0" quotePrefix="0" xfId="0">
      <alignment horizontal="center" vertical="center" wrapText="1"/>
    </xf>
    <xf numFmtId="0" fontId="14" fillId="8" borderId="4" applyAlignment="1" applyProtection="1" pivotButton="0" quotePrefix="0" xfId="0">
      <alignment horizontal="center" wrapText="1"/>
      <protection locked="0" hidden="0"/>
    </xf>
    <xf numFmtId="0" fontId="9" fillId="5" borderId="32" pivotButton="0" quotePrefix="0" xfId="0"/>
    <xf numFmtId="0" fontId="22" fillId="6" borderId="29" applyAlignment="1" pivotButton="0" quotePrefix="0" xfId="0">
      <alignment horizontal="center" wrapText="1"/>
    </xf>
    <xf numFmtId="0" fontId="0" fillId="0" borderId="12" applyProtection="1" pivotButton="0" quotePrefix="0" xfId="0"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164" fontId="0" fillId="0" borderId="13" applyAlignment="1" applyProtection="1" pivotButton="0" quotePrefix="0" xfId="0">
      <alignment horizontal="center"/>
      <protection locked="0" hidden="0"/>
    </xf>
    <xf numFmtId="0" fontId="0" fillId="0" borderId="11" applyAlignment="1" applyProtection="1" pivotButton="0" quotePrefix="0" xfId="0">
      <alignment horizontal="center" wrapText="1"/>
      <protection locked="0" hidden="0"/>
    </xf>
    <xf numFmtId="0" fontId="0" fillId="0" borderId="12" applyAlignment="1" applyProtection="1" pivotButton="0" quotePrefix="0" xfId="0">
      <alignment horizontal="center" wrapText="1"/>
      <protection locked="0" hidden="0"/>
    </xf>
    <xf numFmtId="1" fontId="0" fillId="4" borderId="12" applyAlignment="1" pivotButton="0" quotePrefix="0" xfId="0">
      <alignment horizontal="center"/>
    </xf>
    <xf numFmtId="1" fontId="0" fillId="4" borderId="13" applyAlignment="1" pivotButton="0" quotePrefix="0" xfId="0">
      <alignment horizontal="center"/>
    </xf>
    <xf numFmtId="1" fontId="0" fillId="0" borderId="11" applyAlignment="1" applyProtection="1" pivotButton="0" quotePrefix="0" xfId="0">
      <alignment horizontal="center"/>
      <protection locked="0" hidden="0"/>
    </xf>
    <xf numFmtId="1" fontId="0" fillId="0" borderId="19" applyAlignment="1" applyProtection="1" pivotButton="0" quotePrefix="0" xfId="0">
      <alignment horizontal="center"/>
      <protection locked="0" hidden="0"/>
    </xf>
    <xf numFmtId="1" fontId="0" fillId="0" borderId="12" applyAlignment="1" applyProtection="1" pivotButton="0" quotePrefix="0" xfId="0">
      <alignment horizontal="center"/>
      <protection locked="0" hidden="0"/>
    </xf>
    <xf numFmtId="1" fontId="0" fillId="0" borderId="13" applyAlignment="1" applyProtection="1" pivotButton="0" quotePrefix="0" xfId="0">
      <alignment horizontal="center"/>
      <protection locked="0" hidden="0"/>
    </xf>
    <xf numFmtId="1" fontId="0" fillId="4" borderId="19" applyAlignment="1" pivotButton="0" quotePrefix="0" xfId="0">
      <alignment horizontal="center"/>
    </xf>
    <xf numFmtId="1" fontId="0" fillId="0" borderId="13" applyProtection="1" pivotButton="0" quotePrefix="0" xfId="0">
      <protection locked="0" hidden="0"/>
    </xf>
    <xf numFmtId="0" fontId="0" fillId="4" borderId="9" applyProtection="1" pivotButton="0" quotePrefix="0" xfId="0">
      <protection locked="0" hidden="0"/>
    </xf>
    <xf numFmtId="0" fontId="0" fillId="4" borderId="9" applyAlignment="1" applyProtection="1" pivotButton="0" quotePrefix="0" xfId="0">
      <alignment horizontal="center"/>
      <protection locked="0" hidden="0"/>
    </xf>
    <xf numFmtId="164" fontId="0" fillId="4" borderId="10" applyAlignment="1" applyProtection="1" pivotButton="0" quotePrefix="0" xfId="0">
      <alignment horizontal="center"/>
      <protection locked="0" hidden="0"/>
    </xf>
    <xf numFmtId="0" fontId="25" fillId="4" borderId="8" applyAlignment="1" applyProtection="1" pivotButton="0" quotePrefix="0" xfId="0">
      <alignment horizontal="center" vertical="top" wrapText="1"/>
      <protection locked="0" hidden="0"/>
    </xf>
    <xf numFmtId="0" fontId="0" fillId="4" borderId="9" applyAlignment="1" applyProtection="1" pivotButton="0" quotePrefix="0" xfId="0">
      <alignment horizontal="center" wrapText="1"/>
      <protection locked="0" hidden="0"/>
    </xf>
    <xf numFmtId="1" fontId="0" fillId="4" borderId="9" applyAlignment="1" pivotButton="0" quotePrefix="0" xfId="0">
      <alignment horizontal="center"/>
    </xf>
    <xf numFmtId="1" fontId="0" fillId="4" borderId="10" applyAlignment="1" pivotButton="0" quotePrefix="0" xfId="0">
      <alignment horizontal="center"/>
    </xf>
    <xf numFmtId="1" fontId="0" fillId="4" borderId="8" applyAlignment="1" applyProtection="1" pivotButton="0" quotePrefix="0" xfId="0">
      <alignment horizontal="center"/>
      <protection locked="0" hidden="0"/>
    </xf>
    <xf numFmtId="1" fontId="0" fillId="4" borderId="15" applyAlignment="1" applyProtection="1" pivotButton="0" quotePrefix="0" xfId="0">
      <alignment horizontal="center"/>
      <protection locked="0" hidden="0"/>
    </xf>
    <xf numFmtId="1" fontId="0" fillId="4" borderId="9" applyAlignment="1" applyProtection="1" pivotButton="0" quotePrefix="0" xfId="0">
      <alignment horizontal="center"/>
      <protection locked="0" hidden="0"/>
    </xf>
    <xf numFmtId="1" fontId="0" fillId="4" borderId="10" applyAlignment="1" applyProtection="1" pivotButton="0" quotePrefix="0" xfId="0">
      <alignment horizontal="center"/>
      <protection locked="0" hidden="0"/>
    </xf>
    <xf numFmtId="1" fontId="0" fillId="4" borderId="15" applyAlignment="1" pivotButton="0" quotePrefix="0" xfId="0">
      <alignment horizontal="center"/>
    </xf>
    <xf numFmtId="1" fontId="0" fillId="4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9" applyAlignment="1" applyProtection="1" pivotButton="0" quotePrefix="0" xfId="0">
      <alignment horizontal="center"/>
      <protection locked="0" hidden="0"/>
    </xf>
    <xf numFmtId="164" fontId="0" fillId="0" borderId="10" applyAlignment="1" applyProtection="1" pivotButton="0" quotePrefix="0" xfId="0">
      <alignment horizontal="center"/>
      <protection locked="0" hidden="0"/>
    </xf>
    <xf numFmtId="0" fontId="25" fillId="2" borderId="8" applyAlignment="1" applyProtection="1" pivotButton="0" quotePrefix="0" xfId="0">
      <alignment horizontal="center" vertical="top" wrapText="1"/>
      <protection locked="0" hidden="0"/>
    </xf>
    <xf numFmtId="1" fontId="0" fillId="0" borderId="9" applyAlignment="1" applyProtection="1" pivotButton="0" quotePrefix="0" xfId="0">
      <alignment horizontal="center"/>
      <protection locked="0" hidden="0"/>
    </xf>
    <xf numFmtId="1" fontId="0" fillId="0" borderId="8" applyAlignment="1" applyProtection="1" pivotButton="0" quotePrefix="0" xfId="0">
      <alignment horizontal="center"/>
      <protection locked="0" hidden="0"/>
    </xf>
    <xf numFmtId="1" fontId="0" fillId="0" borderId="15" applyAlignment="1" applyProtection="1" pivotButton="0" quotePrefix="0" xfId="0">
      <alignment horizontal="center"/>
      <protection locked="0" hidden="0"/>
    </xf>
    <xf numFmtId="1" fontId="0" fillId="0" borderId="10" applyAlignment="1" applyProtection="1" pivotButton="0" quotePrefix="0" xfId="0">
      <alignment horizontal="center"/>
      <protection locked="0" hidden="0"/>
    </xf>
    <xf numFmtId="1" fontId="0" fillId="0" borderId="1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164" fontId="0" fillId="0" borderId="6" applyAlignment="1" applyProtection="1" pivotButton="0" quotePrefix="0" xfId="0">
      <alignment horizontal="center"/>
      <protection locked="0" hidden="0"/>
    </xf>
    <xf numFmtId="0" fontId="25" fillId="0" borderId="7" applyAlignment="1" applyProtection="1" pivotButton="0" quotePrefix="0" xfId="0">
      <alignment horizontal="center" vertical="top" wrapText="1"/>
      <protection locked="0" hidden="0"/>
    </xf>
    <xf numFmtId="0" fontId="0" fillId="4" borderId="5" applyAlignment="1" applyProtection="1" pivotButton="0" quotePrefix="0" xfId="0">
      <alignment horizontal="center" wrapText="1"/>
      <protection locked="0" hidden="0"/>
    </xf>
    <xf numFmtId="1" fontId="0" fillId="4" borderId="5" applyAlignment="1" applyProtection="1" pivotButton="0" quotePrefix="0" xfId="0">
      <alignment horizontal="center"/>
      <protection locked="0" hidden="0"/>
    </xf>
    <xf numFmtId="1" fontId="0" fillId="4" borderId="5" applyAlignment="1" pivotButton="0" quotePrefix="0" xfId="0">
      <alignment horizontal="center"/>
    </xf>
    <xf numFmtId="1" fontId="0" fillId="4" borderId="6" applyAlignment="1" pivotButton="0" quotePrefix="0" xfId="0">
      <alignment horizontal="center"/>
    </xf>
    <xf numFmtId="1" fontId="0" fillId="4" borderId="7" applyAlignment="1" applyProtection="1" pivotButton="0" quotePrefix="0" xfId="0">
      <alignment horizontal="center"/>
      <protection locked="0" hidden="0"/>
    </xf>
    <xf numFmtId="1" fontId="0" fillId="4" borderId="39" applyAlignment="1" applyProtection="1" pivotButton="0" quotePrefix="0" xfId="0">
      <alignment horizontal="center"/>
      <protection locked="0" hidden="0"/>
    </xf>
    <xf numFmtId="1" fontId="0" fillId="4" borderId="6" applyAlignment="1" applyProtection="1" pivotButton="0" quotePrefix="0" xfId="0">
      <alignment horizontal="center"/>
      <protection locked="0" hidden="0"/>
    </xf>
    <xf numFmtId="1" fontId="0" fillId="4" borderId="39" applyAlignment="1" pivotButton="0" quotePrefix="0" xfId="0">
      <alignment horizontal="center"/>
    </xf>
    <xf numFmtId="1" fontId="0" fillId="4" borderId="6" applyProtection="1" pivotButton="0" quotePrefix="0" xfId="0">
      <protection locked="0" hidden="0"/>
    </xf>
    <xf numFmtId="0" fontId="20" fillId="12" borderId="0" pivotButton="0" quotePrefix="0" xfId="0"/>
    <xf numFmtId="0" fontId="9" fillId="5" borderId="30" pivotButton="0" quotePrefix="0" xfId="0"/>
    <xf numFmtId="0" fontId="9" fillId="5" borderId="28" pivotButton="0" quotePrefix="0" xfId="0"/>
    <xf numFmtId="0" fontId="9" fillId="5" borderId="0" pivotButton="0" quotePrefix="0" xfId="0"/>
    <xf numFmtId="0" fontId="9" fillId="5" borderId="29" pivotButton="0" quotePrefix="0" xfId="0"/>
    <xf numFmtId="0" fontId="12" fillId="3" borderId="42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1" fontId="0" fillId="7" borderId="9" applyAlignment="1" pivotButton="0" quotePrefix="0" xfId="0">
      <alignment horizontal="center"/>
    </xf>
    <xf numFmtId="1" fontId="0" fillId="7" borderId="5" applyAlignment="1" pivotButton="0" quotePrefix="0" xfId="0">
      <alignment horizontal="center"/>
    </xf>
    <xf numFmtId="1" fontId="0" fillId="7" borderId="12" applyAlignment="1" pivotButton="0" quotePrefix="0" xfId="0">
      <alignment horizontal="center"/>
    </xf>
    <xf numFmtId="9" fontId="0" fillId="7" borderId="12" applyAlignment="1" pivotButton="0" quotePrefix="0" xfId="0">
      <alignment horizontal="center"/>
    </xf>
    <xf numFmtId="9" fontId="0" fillId="7" borderId="9" applyAlignment="1" pivotButton="0" quotePrefix="0" xfId="0">
      <alignment horizontal="center"/>
    </xf>
    <xf numFmtId="9" fontId="0" fillId="7" borderId="5" applyAlignment="1" pivotButton="0" quotePrefix="0" xfId="0">
      <alignment horizontal="center"/>
    </xf>
    <xf numFmtId="0" fontId="14" fillId="7" borderId="2" applyAlignment="1" pivotButton="0" quotePrefix="0" xfId="0">
      <alignment horizontal="center" wrapText="1"/>
    </xf>
    <xf numFmtId="0" fontId="2" fillId="7" borderId="3" applyAlignment="1" applyProtection="1" pivotButton="0" quotePrefix="0" xfId="0">
      <alignment horizontal="center" vertical="center" wrapText="1"/>
      <protection locked="1" hidden="1"/>
    </xf>
    <xf numFmtId="0" fontId="22" fillId="8" borderId="8" applyAlignment="1" pivotButton="0" quotePrefix="0" xfId="0">
      <alignment horizontal="center" vertical="center" wrapText="1"/>
    </xf>
    <xf numFmtId="0" fontId="26" fillId="8" borderId="9" applyAlignment="1" pivotButton="0" quotePrefix="0" xfId="0">
      <alignment horizontal="center" vertical="center" wrapText="1"/>
    </xf>
    <xf numFmtId="0" fontId="0" fillId="8" borderId="10" applyAlignment="1" pivotButton="0" quotePrefix="0" xfId="0">
      <alignment horizontal="center"/>
    </xf>
    <xf numFmtId="0" fontId="24" fillId="0" borderId="6" applyAlignment="1" pivotButton="0" quotePrefix="0" xfId="0">
      <alignment horizontal="center" wrapText="1"/>
    </xf>
    <xf numFmtId="0" fontId="10" fillId="8" borderId="20" applyAlignment="1" pivotButton="0" quotePrefix="0" xfId="0">
      <alignment horizontal="center" vertical="center" wrapText="1"/>
    </xf>
    <xf numFmtId="1" fontId="0" fillId="7" borderId="12" applyAlignment="1" pivotButton="0" quotePrefix="0" xfId="0">
      <alignment horizontal="left"/>
    </xf>
    <xf numFmtId="164" fontId="0" fillId="7" borderId="13" applyAlignment="1" pivotButton="0" quotePrefix="0" xfId="0">
      <alignment horizontal="center"/>
    </xf>
    <xf numFmtId="0" fontId="0" fillId="7" borderId="9" pivotButton="0" quotePrefix="0" xfId="0"/>
    <xf numFmtId="0" fontId="0" fillId="7" borderId="9" applyAlignment="1" pivotButton="0" quotePrefix="0" xfId="0">
      <alignment horizontal="center"/>
    </xf>
    <xf numFmtId="164" fontId="0" fillId="7" borderId="10" applyAlignment="1" pivotButton="0" quotePrefix="0" xfId="0">
      <alignment horizontal="center"/>
    </xf>
    <xf numFmtId="0" fontId="0" fillId="7" borderId="5" pivotButton="0" quotePrefix="0" xfId="0"/>
    <xf numFmtId="0" fontId="0" fillId="7" borderId="5" applyAlignment="1" pivotButton="0" quotePrefix="0" xfId="0">
      <alignment horizontal="center"/>
    </xf>
    <xf numFmtId="164" fontId="0" fillId="7" borderId="6" applyAlignment="1" pivotButton="0" quotePrefix="0" xfId="0">
      <alignment horizontal="center"/>
    </xf>
    <xf numFmtId="0" fontId="15" fillId="6" borderId="10" applyAlignment="1" pivotButton="0" quotePrefix="0" xfId="0">
      <alignment horizontal="center" wrapText="1"/>
    </xf>
    <xf numFmtId="0" fontId="18" fillId="7" borderId="1" applyAlignment="1" pivotButton="0" quotePrefix="0" xfId="0">
      <alignment vertical="center"/>
    </xf>
    <xf numFmtId="0" fontId="22" fillId="6" borderId="10" applyAlignment="1" pivotButton="0" quotePrefix="0" xfId="0">
      <alignment horizontal="center" wrapText="1"/>
    </xf>
    <xf numFmtId="0" fontId="15" fillId="6" borderId="15" applyAlignment="1" pivotButton="0" quotePrefix="0" xfId="0">
      <alignment horizontal="center" wrapText="1"/>
    </xf>
    <xf numFmtId="0" fontId="0" fillId="8" borderId="15" applyAlignment="1" pivotButton="0" quotePrefix="0" xfId="0">
      <alignment horizontal="center"/>
    </xf>
    <xf numFmtId="0" fontId="21" fillId="6" borderId="15" applyAlignment="1" pivotButton="0" quotePrefix="0" xfId="0">
      <alignment horizontal="center" wrapText="1"/>
    </xf>
    <xf numFmtId="0" fontId="23" fillId="0" borderId="39" applyAlignment="1" pivotButton="0" quotePrefix="0" xfId="0">
      <alignment horizontal="center" wrapText="1"/>
    </xf>
    <xf numFmtId="0" fontId="25" fillId="7" borderId="3" applyAlignment="1" pivotButton="0" quotePrefix="0" xfId="0">
      <alignment horizontal="left"/>
    </xf>
    <xf numFmtId="0" fontId="3" fillId="7" borderId="9" applyAlignment="1" pivotButton="0" quotePrefix="0" xfId="0">
      <alignment horizontal="left" wrapText="1"/>
    </xf>
    <xf numFmtId="0" fontId="4" fillId="7" borderId="5" applyAlignment="1" pivotButton="0" quotePrefix="0" xfId="0">
      <alignment horizontal="left"/>
    </xf>
    <xf numFmtId="0" fontId="14" fillId="8" borderId="48" applyAlignment="1" applyProtection="1" pivotButton="0" quotePrefix="0" xfId="0">
      <alignment horizontal="center" wrapText="1"/>
      <protection locked="0" hidden="0"/>
    </xf>
    <xf numFmtId="0" fontId="15" fillId="8" borderId="15" applyAlignment="1" applyProtection="1" pivotButton="0" quotePrefix="0" xfId="0">
      <alignment horizontal="center" wrapText="1"/>
      <protection locked="0" hidden="0"/>
    </xf>
    <xf numFmtId="0" fontId="0" fillId="0" borderId="15" applyAlignment="1" applyProtection="1" pivotButton="0" quotePrefix="0" xfId="0">
      <alignment horizontal="center"/>
      <protection locked="0" hidden="0"/>
    </xf>
    <xf numFmtId="0" fontId="21" fillId="6" borderId="0" applyAlignment="1" pivotButton="0" quotePrefix="0" xfId="0">
      <alignment horizontal="center" wrapText="1"/>
    </xf>
    <xf numFmtId="0" fontId="18" fillId="0" borderId="49" applyAlignment="1" applyProtection="1" pivotButton="0" quotePrefix="0" xfId="0">
      <alignment vertical="center"/>
      <protection locked="0" hidden="0"/>
    </xf>
    <xf numFmtId="0" fontId="0" fillId="0" borderId="50" applyAlignment="1" applyProtection="1" pivotButton="0" quotePrefix="0" xfId="0">
      <alignment horizontal="left" vertical="center"/>
      <protection locked="0" hidden="0"/>
    </xf>
    <xf numFmtId="0" fontId="3" fillId="0" borderId="50" applyAlignment="1" applyProtection="1" pivotButton="0" quotePrefix="0" xfId="0">
      <alignment vertical="center" wrapText="1"/>
      <protection locked="0" hidden="0"/>
    </xf>
    <xf numFmtId="0" fontId="3" fillId="7" borderId="50" applyAlignment="1" pivotButton="0" quotePrefix="0" xfId="0">
      <alignment vertical="center" wrapText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 wrapText="1"/>
      <protection locked="1" hidden="1"/>
    </xf>
    <xf numFmtId="0" fontId="10" fillId="0" borderId="2" applyAlignment="1" applyProtection="1" pivotButton="0" quotePrefix="0" xfId="0">
      <alignment vertical="center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0" fillId="0" borderId="3" applyAlignment="1" applyProtection="1" pivotButton="0" quotePrefix="0" xfId="0">
      <alignment horizontal="center" vertical="center"/>
      <protection locked="1" hidden="1"/>
    </xf>
    <xf numFmtId="0" fontId="10" fillId="0" borderId="3" applyAlignment="1" applyProtection="1" pivotButton="0" quotePrefix="0" xfId="0">
      <alignment horizontal="center" vertical="center" wrapText="1"/>
      <protection locked="1" hidden="1"/>
    </xf>
    <xf numFmtId="0" fontId="1" fillId="0" borderId="3" applyAlignment="1" applyProtection="1" pivotButton="0" quotePrefix="0" xfId="0">
      <alignment horizontal="center" vertical="center" wrapText="1"/>
      <protection locked="1" hidden="1"/>
    </xf>
    <xf numFmtId="0" fontId="1" fillId="0" borderId="3" applyAlignment="1" applyProtection="1" pivotButton="0" quotePrefix="0" xfId="0">
      <alignment horizontal="center" vertical="center"/>
      <protection locked="1" hidden="1"/>
    </xf>
    <xf numFmtId="0" fontId="1" fillId="10" borderId="3" applyAlignment="1" applyProtection="1" pivotButton="0" quotePrefix="0" xfId="0">
      <alignment horizontal="center" vertical="center"/>
      <protection locked="1" hidden="1"/>
    </xf>
    <xf numFmtId="0" fontId="10" fillId="0" borderId="7" applyAlignment="1" applyProtection="1" pivotButton="0" quotePrefix="0" xfId="0">
      <alignment vertical="center"/>
      <protection locked="1" hidden="1"/>
    </xf>
    <xf numFmtId="0" fontId="10" fillId="0" borderId="5" applyAlignment="1" applyProtection="1" pivotButton="0" quotePrefix="0" xfId="0">
      <alignment vertical="center"/>
      <protection locked="1" hidden="1"/>
    </xf>
    <xf numFmtId="0" fontId="10" fillId="0" borderId="5" applyAlignment="1" applyProtection="1" pivotButton="0" quotePrefix="0" xfId="0">
      <alignment horizontal="center" vertical="center"/>
      <protection locked="1" hidden="1"/>
    </xf>
    <xf numFmtId="0" fontId="10" fillId="0" borderId="5" applyAlignment="1" applyProtection="1" pivotButton="0" quotePrefix="0" xfId="0">
      <alignment horizontal="center" vertical="center" wrapText="1"/>
      <protection locked="1" hidden="1"/>
    </xf>
    <xf numFmtId="0" fontId="1" fillId="0" borderId="5" applyAlignment="1" applyProtection="1" pivotButton="0" quotePrefix="0" xfId="0">
      <alignment horizontal="center" vertical="center" wrapText="1"/>
      <protection locked="1" hidden="1"/>
    </xf>
    <xf numFmtId="0" fontId="1" fillId="0" borderId="5" applyAlignment="1" applyProtection="1" pivotButton="0" quotePrefix="0" xfId="0">
      <alignment horizontal="center" vertical="center"/>
      <protection locked="1" hidden="1"/>
    </xf>
    <xf numFmtId="0" fontId="1" fillId="10" borderId="5" applyAlignment="1" applyProtection="1" pivotButton="0" quotePrefix="0" xfId="0">
      <alignment horizontal="center" vertical="center"/>
      <protection locked="1" hidden="1"/>
    </xf>
    <xf numFmtId="0" fontId="5" fillId="0" borderId="8" applyAlignment="1" applyProtection="1" pivotButton="0" quotePrefix="0" xfId="0">
      <alignment vertical="center"/>
      <protection locked="1" hidden="1"/>
    </xf>
    <xf numFmtId="0" fontId="5" fillId="0" borderId="9" applyAlignment="1" applyProtection="1" pivotButton="0" quotePrefix="0" xfId="0">
      <alignment vertical="center"/>
      <protection locked="1" hidden="1"/>
    </xf>
    <xf numFmtId="0" fontId="5" fillId="0" borderId="9" applyAlignment="1" applyProtection="1" pivotButton="0" quotePrefix="0" xfId="0">
      <alignment horizontal="center" vertical="center"/>
      <protection locked="1" hidden="1"/>
    </xf>
    <xf numFmtId="0" fontId="5" fillId="0" borderId="9" applyAlignment="1" applyProtection="1" pivotButton="0" quotePrefix="0" xfId="0">
      <alignment horizontal="center" vertical="center" wrapText="1"/>
      <protection locked="1" hidden="1"/>
    </xf>
    <xf numFmtId="0" fontId="0" fillId="0" borderId="9" applyAlignment="1" applyProtection="1" pivotButton="0" quotePrefix="0" xfId="0">
      <alignment horizontal="center" vertical="center"/>
      <protection locked="1" hidden="1"/>
    </xf>
    <xf numFmtId="0" fontId="0" fillId="10" borderId="9" applyAlignment="1" applyProtection="1" pivotButton="0" quotePrefix="0" xfId="0">
      <alignment horizontal="center" vertical="center"/>
      <protection locked="1" hidden="1"/>
    </xf>
    <xf numFmtId="0" fontId="0" fillId="0" borderId="9" applyAlignment="1" applyProtection="1" pivotButton="0" quotePrefix="0" xfId="0">
      <alignment horizontal="center" vertical="center" wrapText="1"/>
      <protection locked="1" hidden="1"/>
    </xf>
    <xf numFmtId="0" fontId="5" fillId="0" borderId="7" applyAlignment="1" applyProtection="1" pivotButton="0" quotePrefix="0" xfId="0">
      <alignment vertical="center"/>
      <protection locked="1" hidden="1"/>
    </xf>
    <xf numFmtId="0" fontId="5" fillId="0" borderId="5" applyAlignment="1" applyProtection="1" pivotButton="0" quotePrefix="0" xfId="0">
      <alignment vertical="center"/>
      <protection locked="1" hidden="1"/>
    </xf>
    <xf numFmtId="0" fontId="5" fillId="0" borderId="5" applyAlignment="1" applyProtection="1" pivotButton="0" quotePrefix="0" xfId="0">
      <alignment horizontal="center" vertical="center"/>
      <protection locked="1" hidden="1"/>
    </xf>
    <xf numFmtId="0" fontId="5" fillId="0" borderId="5" applyAlignment="1" applyProtection="1" pivotButton="0" quotePrefix="0" xfId="0">
      <alignment horizontal="center" vertical="center" wrapText="1"/>
      <protection locked="1" hidden="1"/>
    </xf>
    <xf numFmtId="0" fontId="0" fillId="0" borderId="5" applyAlignment="1" applyProtection="1" pivotButton="0" quotePrefix="0" xfId="0">
      <alignment horizontal="center" vertical="center" wrapText="1"/>
      <protection locked="1" hidden="1"/>
    </xf>
    <xf numFmtId="0" fontId="0" fillId="0" borderId="5" applyAlignment="1" applyProtection="1" pivotButton="0" quotePrefix="0" xfId="0">
      <alignment horizontal="center" vertical="center"/>
      <protection locked="1" hidden="1"/>
    </xf>
    <xf numFmtId="0" fontId="0" fillId="10" borderId="5" applyAlignment="1" applyProtection="1" pivotButton="0" quotePrefix="0" xfId="0">
      <alignment horizontal="center" vertical="center"/>
      <protection locked="1" hidden="1"/>
    </xf>
    <xf numFmtId="0" fontId="3" fillId="0" borderId="39" applyAlignment="1" applyProtection="1" pivotButton="0" quotePrefix="0" xfId="0">
      <alignment horizontal="center" wrapText="1"/>
      <protection locked="0" hidden="0"/>
    </xf>
    <xf numFmtId="0" fontId="4" fillId="0" borderId="6" applyAlignment="1" applyProtection="1" pivotButton="0" quotePrefix="0" xfId="0">
      <alignment horizontal="center" wrapText="1"/>
      <protection locked="0" hidden="0"/>
    </xf>
    <xf numFmtId="1" fontId="0" fillId="0" borderId="5" applyAlignment="1" applyProtection="1" pivotButton="0" quotePrefix="0" xfId="0">
      <alignment horizontal="center"/>
      <protection locked="0" hidden="0"/>
    </xf>
    <xf numFmtId="0" fontId="12" fillId="7" borderId="9" applyAlignment="1" applyProtection="1" pivotButton="0" quotePrefix="0" xfId="0">
      <alignment horizontal="center" vertical="center" wrapText="1"/>
      <protection locked="1" hidden="1"/>
    </xf>
    <xf numFmtId="0" fontId="27" fillId="7" borderId="2" applyAlignment="1" pivotButton="0" quotePrefix="0" xfId="0">
      <alignment horizontal="center" vertical="center"/>
    </xf>
    <xf numFmtId="0" fontId="27" fillId="7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9" applyAlignment="1" pivotButton="0" quotePrefix="0" xfId="0">
      <alignment horizontal="left" vertical="center" indent="1"/>
    </xf>
    <xf numFmtId="0" fontId="0" fillId="0" borderId="10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1" fillId="0" borderId="3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left" vertical="center" indent="1"/>
    </xf>
    <xf numFmtId="0" fontId="0" fillId="0" borderId="6" applyAlignment="1" pivotButton="0" quotePrefix="0" xfId="0">
      <alignment vertical="center" wrapText="1"/>
    </xf>
    <xf numFmtId="0" fontId="12" fillId="8" borderId="20" applyAlignment="1" pivotButton="0" quotePrefix="0" xfId="0">
      <alignment horizontal="center" vertical="center" wrapText="1"/>
    </xf>
    <xf numFmtId="0" fontId="12" fillId="8" borderId="21" applyAlignment="1" pivotButton="0" quotePrefix="0" xfId="0">
      <alignment horizontal="center" vertical="center" wrapText="1"/>
    </xf>
    <xf numFmtId="0" fontId="6" fillId="13" borderId="9" applyAlignment="1" pivotButton="0" quotePrefix="0" xfId="0">
      <alignment horizontal="center" vertical="center" wrapText="1"/>
    </xf>
    <xf numFmtId="0" fontId="6" fillId="15" borderId="9" applyAlignment="1" pivotButton="0" quotePrefix="0" xfId="0">
      <alignment horizontal="center" vertical="center" wrapText="1"/>
    </xf>
    <xf numFmtId="1" fontId="0" fillId="15" borderId="9" applyAlignment="1" pivotButton="0" quotePrefix="0" xfId="0">
      <alignment horizontal="center" vertical="center"/>
    </xf>
    <xf numFmtId="1" fontId="0" fillId="15" borderId="5" applyAlignment="1" pivotButton="0" quotePrefix="0" xfId="0">
      <alignment horizontal="center" vertical="center"/>
    </xf>
    <xf numFmtId="0" fontId="22" fillId="15" borderId="9" applyAlignment="1" pivotButton="0" quotePrefix="0" xfId="0">
      <alignment horizontal="center" vertical="center" wrapText="1"/>
    </xf>
    <xf numFmtId="0" fontId="2" fillId="13" borderId="9" applyAlignment="1" pivotButton="0" quotePrefix="0" xfId="0">
      <alignment vertical="center" wrapText="1"/>
    </xf>
    <xf numFmtId="0" fontId="22" fillId="13" borderId="9" applyAlignment="1" pivotButton="0" quotePrefix="0" xfId="0">
      <alignment horizontal="center" vertical="center" wrapText="1"/>
    </xf>
    <xf numFmtId="0" fontId="10" fillId="10" borderId="3" applyAlignment="1" applyProtection="1" pivotButton="0" quotePrefix="0" xfId="0">
      <alignment wrapText="1"/>
      <protection locked="1" hidden="1"/>
    </xf>
    <xf numFmtId="0" fontId="12" fillId="10" borderId="9" applyAlignment="1" applyProtection="1" pivotButton="0" quotePrefix="0" xfId="0">
      <alignment horizontal="center" vertical="center" wrapText="1"/>
      <protection locked="1" hidden="1"/>
    </xf>
    <xf numFmtId="0" fontId="12" fillId="10" borderId="10" applyAlignment="1" applyProtection="1" pivotButton="0" quotePrefix="0" xfId="0">
      <alignment horizontal="center" vertical="center" wrapText="1"/>
      <protection locked="1" hidden="1"/>
    </xf>
    <xf numFmtId="2" fontId="0" fillId="0" borderId="0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10" fontId="0" fillId="0" borderId="0" pivotButton="0" quotePrefix="0" xfId="0"/>
    <xf numFmtId="10" fontId="0" fillId="0" borderId="3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 vertical="center"/>
    </xf>
    <xf numFmtId="0" fontId="0" fillId="0" borderId="43" pivotButton="0" quotePrefix="0" xfId="0"/>
    <xf numFmtId="0" fontId="1" fillId="0" borderId="0" pivotButton="0" quotePrefix="0" xfId="0"/>
    <xf numFmtId="9" fontId="1" fillId="0" borderId="0" applyAlignment="1" pivotButton="0" quotePrefix="0" xfId="0">
      <alignment horizontal="center"/>
    </xf>
    <xf numFmtId="0" fontId="12" fillId="0" borderId="43" applyAlignment="1" applyProtection="1" pivotButton="0" quotePrefix="0" xfId="0">
      <alignment horizontal="center" vertical="center" wrapText="1"/>
      <protection locked="1" hidden="1"/>
    </xf>
    <xf numFmtId="2" fontId="0" fillId="0" borderId="9" applyAlignment="1" pivotButton="0" quotePrefix="0" xfId="1">
      <alignment horizontal="center"/>
    </xf>
    <xf numFmtId="2" fontId="0" fillId="0" borderId="9" applyAlignment="1" pivotButton="0" quotePrefix="0" xfId="0">
      <alignment horizontal="center"/>
    </xf>
    <xf numFmtId="2" fontId="1" fillId="4" borderId="5" applyAlignment="1" pivotButton="0" quotePrefix="0" xfId="0">
      <alignment horizontal="center"/>
    </xf>
    <xf numFmtId="9" fontId="1" fillId="10" borderId="9" applyAlignment="1" pivotButton="0" quotePrefix="0" xfId="0">
      <alignment horizontal="center"/>
    </xf>
    <xf numFmtId="0" fontId="0" fillId="0" borderId="12" pivotButton="0" quotePrefix="0" xfId="0"/>
    <xf numFmtId="9" fontId="0" fillId="0" borderId="12" applyAlignment="1" pivotButton="0" quotePrefix="0" xfId="1">
      <alignment horizontal="center"/>
    </xf>
    <xf numFmtId="2" fontId="0" fillId="0" borderId="12" applyAlignment="1" pivotButton="0" quotePrefix="0" xfId="1">
      <alignment horizontal="center"/>
    </xf>
    <xf numFmtId="9" fontId="0" fillId="10" borderId="12" applyAlignment="1" pivotButton="0" quotePrefix="0" xfId="1">
      <alignment horizontal="center"/>
    </xf>
    <xf numFmtId="9" fontId="0" fillId="10" borderId="13" applyAlignment="1" pivotButton="0" quotePrefix="0" xfId="1">
      <alignment horizontal="center"/>
    </xf>
    <xf numFmtId="0" fontId="1" fillId="7" borderId="11" pivotButton="0" quotePrefix="0" xfId="0"/>
    <xf numFmtId="0" fontId="1" fillId="7" borderId="12" pivotButton="0" quotePrefix="0" xfId="0"/>
    <xf numFmtId="0" fontId="1" fillId="7" borderId="12" applyAlignment="1" pivotButton="0" quotePrefix="0" xfId="0">
      <alignment horizontal="center" wrapText="1"/>
    </xf>
    <xf numFmtId="0" fontId="1" fillId="7" borderId="54" applyAlignment="1" pivotButton="0" quotePrefix="0" xfId="0">
      <alignment wrapText="1"/>
    </xf>
    <xf numFmtId="0" fontId="1" fillId="7" borderId="52" applyAlignment="1" pivotButton="0" quotePrefix="0" xfId="0">
      <alignment horizontal="center"/>
    </xf>
    <xf numFmtId="0" fontId="1" fillId="7" borderId="25" applyAlignment="1" pivotButton="0" quotePrefix="0" xfId="0">
      <alignment horizontal="center"/>
    </xf>
    <xf numFmtId="0" fontId="1" fillId="7" borderId="25" applyAlignment="1" pivotButton="0" quotePrefix="0" xfId="0">
      <alignment wrapText="1"/>
    </xf>
    <xf numFmtId="0" fontId="1" fillId="7" borderId="3" applyAlignment="1" applyProtection="1" pivotButton="0" quotePrefix="0" xfId="0">
      <alignment horizontal="center"/>
      <protection locked="1" hidden="1"/>
    </xf>
    <xf numFmtId="0" fontId="1" fillId="7" borderId="9" applyAlignment="1" applyProtection="1" pivotButton="0" quotePrefix="0" xfId="0">
      <alignment horizontal="center"/>
      <protection locked="1" hidden="1"/>
    </xf>
    <xf numFmtId="9" fontId="0" fillId="15" borderId="9" applyAlignment="1" pivotButton="0" quotePrefix="0" xfId="0">
      <alignment horizontal="center" vertical="center"/>
    </xf>
    <xf numFmtId="1" fontId="0" fillId="15" borderId="9" applyAlignment="1" pivotButton="0" quotePrefix="0" xfId="0">
      <alignment horizontal="center" vertical="center" wrapText="1"/>
    </xf>
    <xf numFmtId="9" fontId="0" fillId="13" borderId="9" applyAlignment="1" pivotButton="0" quotePrefix="0" xfId="0">
      <alignment horizontal="center" vertical="center"/>
    </xf>
    <xf numFmtId="1" fontId="0" fillId="13" borderId="9" applyAlignment="1" pivotButton="0" quotePrefix="0" xfId="0">
      <alignment horizontal="center" vertical="center" wrapText="1"/>
    </xf>
    <xf numFmtId="0" fontId="0" fillId="15" borderId="9" applyAlignment="1" pivotButton="0" quotePrefix="0" xfId="0">
      <alignment horizontal="center" vertical="center" wrapText="1"/>
    </xf>
    <xf numFmtId="0" fontId="0" fillId="13" borderId="9" applyAlignment="1" pivotButton="0" quotePrefix="0" xfId="0">
      <alignment horizontal="center" vertical="center" wrapText="1"/>
    </xf>
    <xf numFmtId="0" fontId="0" fillId="4" borderId="7" applyAlignment="1" pivotButton="0" quotePrefix="0" xfId="0">
      <alignment vertical="center"/>
    </xf>
    <xf numFmtId="1" fontId="0" fillId="4" borderId="5" applyAlignment="1" pivotButton="0" quotePrefix="0" xfId="0">
      <alignment horizontal="left" vertical="center"/>
    </xf>
    <xf numFmtId="9" fontId="0" fillId="15" borderId="5" applyAlignment="1" pivotButton="0" quotePrefix="0" xfId="0">
      <alignment horizontal="center" vertical="center"/>
    </xf>
    <xf numFmtId="0" fontId="0" fillId="15" borderId="5" applyAlignment="1" pivotButton="0" quotePrefix="0" xfId="0">
      <alignment horizontal="center" vertical="center" wrapText="1"/>
    </xf>
    <xf numFmtId="9" fontId="0" fillId="13" borderId="5" applyAlignment="1" pivotButton="0" quotePrefix="0" xfId="0">
      <alignment horizontal="center" vertical="center"/>
    </xf>
    <xf numFmtId="0" fontId="0" fillId="13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0" fontId="0" fillId="0" borderId="9" applyAlignment="1" pivotButton="0" quotePrefix="0" xfId="0">
      <alignment horizontal="center" vertical="center"/>
    </xf>
    <xf numFmtId="2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wrapText="1"/>
    </xf>
    <xf numFmtId="0" fontId="0" fillId="0" borderId="12" applyAlignment="1" pivotButton="0" quotePrefix="0" xfId="0">
      <alignment horizontal="center" wrapText="1"/>
    </xf>
    <xf numFmtId="1" fontId="0" fillId="0" borderId="11" applyAlignment="1" pivotButton="0" quotePrefix="0" xfId="0">
      <alignment horizontal="center"/>
    </xf>
    <xf numFmtId="1" fontId="0" fillId="0" borderId="19" applyAlignment="1" pivotButton="0" quotePrefix="0" xfId="0">
      <alignment horizontal="center"/>
    </xf>
    <xf numFmtId="1" fontId="0" fillId="0" borderId="12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13" pivotButton="0" quotePrefix="0" xfId="0"/>
    <xf numFmtId="0" fontId="25" fillId="4" borderId="8" applyAlignment="1" pivotButton="0" quotePrefix="0" xfId="0">
      <alignment horizontal="center" vertical="top" wrapText="1"/>
    </xf>
    <xf numFmtId="0" fontId="0" fillId="4" borderId="9" applyAlignment="1" pivotButton="0" quotePrefix="0" xfId="0">
      <alignment horizontal="center" wrapText="1"/>
    </xf>
    <xf numFmtId="1" fontId="0" fillId="4" borderId="8" applyAlignment="1" pivotButton="0" quotePrefix="0" xfId="0">
      <alignment horizontal="center"/>
    </xf>
    <xf numFmtId="1" fontId="0" fillId="4" borderId="10" pivotButton="0" quotePrefix="0" xfId="0"/>
    <xf numFmtId="0" fontId="25" fillId="2" borderId="8" applyAlignment="1" pivotButton="0" quotePrefix="0" xfId="0">
      <alignment horizontal="center" vertical="top" wrapText="1"/>
    </xf>
    <xf numFmtId="1" fontId="0" fillId="0" borderId="9" applyAlignment="1" pivotButton="0" quotePrefix="0" xfId="0">
      <alignment horizontal="center"/>
    </xf>
    <xf numFmtId="1" fontId="0" fillId="0" borderId="8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1" fontId="0" fillId="0" borderId="10" applyAlignment="1" pivotButton="0" quotePrefix="0" xfId="0">
      <alignment horizontal="center"/>
    </xf>
    <xf numFmtId="1" fontId="0" fillId="0" borderId="10" pivotButton="0" quotePrefix="0" xfId="0"/>
    <xf numFmtId="0" fontId="25" fillId="0" borderId="7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wrapText="1"/>
    </xf>
    <xf numFmtId="1" fontId="0" fillId="4" borderId="7" applyAlignment="1" pivotButton="0" quotePrefix="0" xfId="0">
      <alignment horizontal="center"/>
    </xf>
    <xf numFmtId="1" fontId="0" fillId="4" borderId="6" pivotButton="0" quotePrefix="0" xfId="0"/>
    <xf numFmtId="0" fontId="5" fillId="0" borderId="51" applyAlignment="1" pivotButton="0" quotePrefix="0" xfId="0">
      <alignment vertical="center"/>
    </xf>
    <xf numFmtId="0" fontId="28" fillId="0" borderId="0" applyAlignment="1" pivotButton="0" quotePrefix="0" xfId="0">
      <alignment horizontal="center"/>
    </xf>
    <xf numFmtId="0" fontId="26" fillId="8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7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45" pivotButton="0" quotePrefix="0" xfId="0"/>
    <xf numFmtId="0" fontId="1" fillId="8" borderId="5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18" pivotButton="0" quotePrefix="0" xfId="0"/>
    <xf numFmtId="0" fontId="2" fillId="8" borderId="8" applyAlignment="1" pivotButton="0" quotePrefix="0" xfId="0">
      <alignment horizontal="right" wrapText="1"/>
    </xf>
    <xf numFmtId="0" fontId="1" fillId="8" borderId="3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0" borderId="5" applyAlignment="1" pivotButton="0" quotePrefix="0" xfId="0">
      <alignment horizontal="center" vertical="center" wrapText="1"/>
    </xf>
    <xf numFmtId="0" fontId="17" fillId="14" borderId="36" applyAlignment="1" pivotButton="0" quotePrefix="0" xfId="0">
      <alignment horizontal="center" vertical="center"/>
    </xf>
    <xf numFmtId="0" fontId="0" fillId="0" borderId="33" pivotButton="0" quotePrefix="0" xfId="0"/>
    <xf numFmtId="0" fontId="13" fillId="12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15" fillId="6" borderId="1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44" pivotButton="0" quotePrefix="0" xfId="0"/>
    <xf numFmtId="0" fontId="2" fillId="8" borderId="11" applyAlignment="1" pivotButton="0" quotePrefix="0" xfId="0">
      <alignment horizontal="right" wrapText="1"/>
    </xf>
    <xf numFmtId="0" fontId="0" fillId="0" borderId="19" pivotButton="0" quotePrefix="0" xfId="0"/>
    <xf numFmtId="0" fontId="10" fillId="3" borderId="21" applyAlignment="1" pivotButton="0" quotePrefix="0" xfId="0">
      <alignment horizontal="center" vertical="center" wrapText="1"/>
    </xf>
    <xf numFmtId="0" fontId="0" fillId="0" borderId="42" pivotButton="0" quotePrefix="0" xfId="0"/>
    <xf numFmtId="0" fontId="1" fillId="0" borderId="57" applyAlignment="1" pivotButton="0" quotePrefix="0" xfId="0">
      <alignment horizontal="center"/>
    </xf>
    <xf numFmtId="0" fontId="0" fillId="0" borderId="40" pivotButton="0" quotePrefix="0" xfId="0"/>
    <xf numFmtId="0" fontId="0" fillId="0" borderId="17" pivotButton="0" quotePrefix="0" xfId="0"/>
    <xf numFmtId="0" fontId="14" fillId="6" borderId="34" applyAlignment="1" pivotButton="0" quotePrefix="0" xfId="0">
      <alignment horizontal="center" wrapText="1"/>
    </xf>
    <xf numFmtId="0" fontId="0" fillId="0" borderId="34" pivotButton="0" quotePrefix="0" xfId="0"/>
    <xf numFmtId="0" fontId="2" fillId="8" borderId="8" applyAlignment="1" pivotButton="0" quotePrefix="0" xfId="0">
      <alignment horizontal="right"/>
    </xf>
    <xf numFmtId="0" fontId="6" fillId="8" borderId="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29" applyAlignment="1" pivotButton="0" quotePrefix="0" xfId="0">
      <alignment horizontal="center"/>
    </xf>
    <xf numFmtId="0" fontId="1" fillId="8" borderId="38" applyAlignment="1" pivotButton="0" quotePrefix="0" xfId="0">
      <alignment horizontal="right"/>
    </xf>
    <xf numFmtId="0" fontId="0" fillId="0" borderId="35" pivotButton="0" quotePrefix="0" xfId="0"/>
    <xf numFmtId="0" fontId="0" fillId="0" borderId="46" pivotButton="0" quotePrefix="0" xfId="0"/>
    <xf numFmtId="0" fontId="0" fillId="0" borderId="47" pivotButton="0" quotePrefix="0" xfId="0"/>
    <xf numFmtId="0" fontId="7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8" borderId="55" applyAlignment="1" pivotButton="0" quotePrefix="0" xfId="0">
      <alignment horizontal="center" vertical="center" wrapText="1"/>
    </xf>
    <xf numFmtId="0" fontId="15" fillId="6" borderId="41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0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8" borderId="37" applyAlignment="1" pivotButton="0" quotePrefix="0" xfId="0">
      <alignment horizontal="right" wrapText="1"/>
    </xf>
    <xf numFmtId="0" fontId="7" fillId="0" borderId="23" applyAlignment="1" pivotButton="0" quotePrefix="0" xfId="0">
      <alignment horizontal="center" vertical="center" wrapText="1"/>
    </xf>
    <xf numFmtId="0" fontId="6" fillId="13" borderId="9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left" vertical="center" wrapText="1"/>
    </xf>
    <xf numFmtId="0" fontId="2" fillId="8" borderId="8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right" vertical="center" wrapText="1"/>
    </xf>
    <xf numFmtId="0" fontId="6" fillId="15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13" pivotButton="0" quotePrefix="0" xfId="0"/>
    <xf numFmtId="0" fontId="2" fillId="13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8" borderId="2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left" vertical="center" wrapText="1"/>
    </xf>
    <xf numFmtId="0" fontId="2" fillId="15" borderId="9" applyAlignment="1" pivotButton="0" quotePrefix="0" xfId="0">
      <alignment horizontal="center" vertical="center" wrapText="1"/>
    </xf>
    <xf numFmtId="0" fontId="6" fillId="15" borderId="9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indent="3"/>
    </xf>
    <xf numFmtId="0" fontId="0" fillId="0" borderId="0" pivotButton="0" quotePrefix="0" xfId="0"/>
    <xf numFmtId="0" fontId="9" fillId="5" borderId="0" applyAlignment="1" pivotButton="0" quotePrefix="0" xfId="0">
      <alignment horizontal="left"/>
    </xf>
    <xf numFmtId="0" fontId="10" fillId="7" borderId="9" applyAlignment="1" applyProtection="1" pivotButton="0" quotePrefix="0" xfId="0">
      <alignment horizontal="center" wrapText="1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1" fillId="7" borderId="3" applyAlignment="1" pivotButton="0" quotePrefix="0" xfId="0">
      <alignment horizontal="center"/>
    </xf>
    <xf numFmtId="0" fontId="1" fillId="7" borderId="53" applyAlignment="1" pivotButton="0" quotePrefix="0" xfId="0">
      <alignment horizontal="center"/>
    </xf>
    <xf numFmtId="0" fontId="0" fillId="0" borderId="56" pivotButton="0" quotePrefix="0" xfId="0"/>
    <xf numFmtId="0" fontId="0" fillId="0" borderId="14" applyAlignment="1" pivotButton="0" quotePrefix="0" xfId="0">
      <alignment horizontal="left"/>
    </xf>
    <xf numFmtId="0" fontId="0" fillId="0" borderId="14" pivotButton="0" quotePrefix="0" xfId="0"/>
    <xf numFmtId="0" fontId="1" fillId="0" borderId="14" applyAlignment="1" pivotButton="0" quotePrefix="0" xfId="0">
      <alignment horizontal="right" indent="3"/>
    </xf>
    <xf numFmtId="0" fontId="10" fillId="7" borderId="3" applyAlignment="1" applyProtection="1" pivotButton="0" quotePrefix="0" xfId="0">
      <alignment horizontal="center" wrapText="1"/>
      <protection locked="1" hidden="1"/>
    </xf>
    <xf numFmtId="0" fontId="0" fillId="0" borderId="33" applyProtection="1" pivotButton="0" quotePrefix="0" xfId="0">
      <protection locked="1" hidden="1"/>
    </xf>
    <xf numFmtId="0" fontId="0" fillId="0" borderId="48" applyProtection="1" pivotButton="0" quotePrefix="0" xfId="0">
      <protection locked="1" hidden="1"/>
    </xf>
    <xf numFmtId="0" fontId="12" fillId="7" borderId="3" applyAlignment="1" applyProtection="1" pivotButton="0" quotePrefix="0" xfId="0">
      <alignment horizontal="center" vertical="center" wrapText="1"/>
      <protection locked="1" hidden="1"/>
    </xf>
    <xf numFmtId="0" fontId="0" fillId="0" borderId="12" applyProtection="1" pivotButton="0" quotePrefix="0" xfId="0">
      <protection locked="1" hidden="1"/>
    </xf>
    <xf numFmtId="0" fontId="1" fillId="7" borderId="3" applyAlignment="1" applyProtection="1" pivotButton="0" quotePrefix="0" xfId="0">
      <alignment horizontal="center"/>
      <protection locked="1" hidden="1"/>
    </xf>
    <xf numFmtId="0" fontId="1" fillId="7" borderId="2" applyAlignment="1" applyProtection="1" pivotButton="0" quotePrefix="0" xfId="0">
      <alignment horizontal="center"/>
      <protection locked="1" hidden="1"/>
    </xf>
    <xf numFmtId="0" fontId="0" fillId="0" borderId="11" applyProtection="1" pivotButton="0" quotePrefix="0" xfId="0">
      <protection locked="1" hidden="1"/>
    </xf>
    <xf numFmtId="0" fontId="12" fillId="7" borderId="3" applyAlignment="1" applyProtection="1" pivotButton="0" quotePrefix="0" xfId="0">
      <alignment horizontal="center" wrapText="1"/>
      <protection locked="1" hidden="1"/>
    </xf>
    <xf numFmtId="0" fontId="10" fillId="10" borderId="3" applyAlignment="1" applyProtection="1" pivotButton="0" quotePrefix="0" xfId="0">
      <alignment horizontal="center" wrapText="1"/>
      <protection locked="1" hidden="1"/>
    </xf>
    <xf numFmtId="0" fontId="27" fillId="7" borderId="3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"/>
      </font>
    </dxf>
    <dxf>
      <font>
        <color theme="0" tint="-0.249946592608417"/>
      </font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0.149906918546098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69582"/>
        </patternFill>
      </fill>
    </dxf>
    <dxf>
      <font>
        <color theme="1" tint="0.249946592608417"/>
      </font>
      <fill>
        <patternFill>
          <bgColor theme="1" tint="0.249946592608417"/>
        </patternFill>
      </fill>
    </dxf>
    <dxf>
      <font>
        <color theme="1" tint="0.249946592608417"/>
      </font>
      <fill>
        <patternFill>
          <bgColor theme="1" tint="0.249946592608417"/>
        </patternFill>
      </fill>
    </dxf>
    <dxf>
      <font>
        <color theme="1"/>
      </font>
      <fill>
        <patternFill>
          <bgColor theme="1"/>
        </patternFill>
      </fill>
    </dxf>
    <dxf>
      <font>
        <color theme="0" tint="-0.499984740745262"/>
      </font>
    </dxf>
    <dxf>
      <font>
        <color theme="0" tint="-0.249946592608417"/>
      </font>
    </dxf>
    <dxf>
      <font>
        <color theme="0" tint="-0.249946592608417"/>
      </font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0.149906918546098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69582"/>
        </patternFill>
      </fill>
    </dxf>
    <dxf>
      <font>
        <color theme="1" tint="0.249946592608417"/>
      </font>
      <fill>
        <patternFill>
          <bgColor theme="1" tint="0.249946592608417"/>
        </patternFill>
      </fill>
    </dxf>
    <dxf>
      <font>
        <color theme="1" tint="0.249946592608417"/>
      </font>
      <fill>
        <patternFill>
          <bgColor theme="1" tint="0.249946592608417"/>
        </patternFill>
      </fill>
    </dxf>
    <dxf>
      <font>
        <color theme="1"/>
      </font>
      <fill>
        <patternFill>
          <bgColor theme="1"/>
        </patternFill>
      </fill>
    </dxf>
    <dxf>
      <font>
        <color theme="0" tint="-0.499984740745262"/>
      </font>
    </dxf>
    <dxf>
      <font>
        <color theme="0" tint="-0.249946592608417"/>
      </font>
    </dxf>
    <dxf>
      <font>
        <color theme="0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Assessment Part 1 Reading Level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'Class Summary'!$D$18</f>
              <strCache>
                <ptCount val="1"/>
                <pt idx="0">
                  <v>Full Refresher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Summary'!$D$19:$D$24</f>
              <numCache>
                <formatCode>0%</formatCode>
                <ptCount val="6"/>
                <pt idx="0">
                  <v>0.4615384615384616</v>
                </pt>
                <pt idx="1">
                  <v>0.4545454545454545</v>
                </pt>
                <pt idx="2">
                  <v>0.4583333333333333</v>
                </pt>
                <pt idx="3">
                  <v>0.4615384615384616</v>
                </pt>
                <pt idx="4">
                  <v>0.4545454545454545</v>
                </pt>
                <pt idx="5">
                  <v>0.4583333333333333</v>
                </pt>
              </numCache>
            </numRef>
          </val>
        </ser>
        <ser>
          <idx val="1"/>
          <order val="1"/>
          <tx>
            <strRef>
              <f>'Class Summary'!$E$18</f>
              <strCache>
                <ptCount val="1"/>
                <pt idx="0">
                  <v>Moderate Refresher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Summary'!$E$19:$E$24</f>
              <numCache>
                <formatCode>0%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'Class Summary'!$F$18</f>
              <strCache>
                <ptCount val="1"/>
                <pt idx="0">
                  <v>Light Refresher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Summary'!$F$19:$F$24</f>
              <numCache>
                <formatCode>0%</formatCode>
                <ptCount val="6"/>
                <pt idx="0">
                  <v>0.07692307692307693</v>
                </pt>
                <pt idx="1">
                  <v>0</v>
                </pt>
                <pt idx="2">
                  <v>0.04166666666666666</v>
                </pt>
                <pt idx="3">
                  <v>0.07692307692307693</v>
                </pt>
                <pt idx="4">
                  <v>0</v>
                </pt>
                <pt idx="5">
                  <v>0.04166666666666666</v>
                </pt>
              </numCache>
            </numRef>
          </val>
        </ser>
        <ser>
          <idx val="3"/>
          <order val="3"/>
          <tx>
            <strRef>
              <f>'Class Summary'!$G$18</f>
              <strCache>
                <ptCount val="1"/>
                <pt idx="0">
                  <v>Grade Ready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Summary'!$G$19:$G$24</f>
              <numCache>
                <formatCode>0%</formatCode>
                <ptCount val="6"/>
                <pt idx="0">
                  <v>0.4615384615384616</v>
                </pt>
                <pt idx="1">
                  <v>0.5454545454545454</v>
                </pt>
                <pt idx="2">
                  <v>0.5</v>
                </pt>
                <pt idx="3">
                  <v>0.4615384615384616</v>
                </pt>
                <pt idx="4">
                  <v>0.5454545454545454</v>
                </pt>
                <pt idx="5">
                  <v>0.5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94928544"/>
        <axId val="194934368"/>
      </barChart>
      <catAx>
        <axId val="194928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34368"/>
        <crosses val="autoZero"/>
        <auto val="1"/>
        <lblAlgn val="ctr"/>
        <lblOffset val="100"/>
        <noMultiLvlLbl val="0"/>
      </catAx>
      <valAx>
        <axId val="1949343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28544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368757737391216"/>
          <y val="0.272472731546137"/>
          <w val="0.5851887731699871"/>
          <h val="0.5212712387844733"/>
        </manualLayout>
      </layout>
      <pieChart>
        <varyColors val="1"/>
        <ser>
          <idx val="0"/>
          <order val="0"/>
          <tx>
            <strRef>
              <f>'Class Summary'!$G$6</f>
              <strCache>
                <ptCount val="1"/>
                <pt idx="0">
                  <v>Number of Learners Assessed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explosion val="7"/>
          <dPt>
            <idx val="0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'Class Summary'!$E$8:$E$9</f>
              <strCache>
                <ptCount val="2"/>
                <pt idx="0">
                  <v>Male</v>
                </pt>
                <pt idx="1">
                  <v>Female</v>
                </pt>
              </strCache>
            </strRef>
          </cat>
          <val>
            <numRef>
              <f>'Class Summary'!$G$8:$G$9</f>
              <numCache>
                <formatCode>General</formatCode>
                <ptCount val="2"/>
                <pt idx="0">
                  <v>13</v>
                </pt>
                <pt idx="1">
                  <v>11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3049460242656861"/>
          <y val="0.8068449216860391"/>
          <w val="0.4642737705697635"/>
          <h val="0.0837167497041533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Grade 2 Learners Assessed In</a:t>
            </a:r>
            <a:r>
              <a:rPr lang="en-US" baseline="0"/>
              <a:t xml:space="preserve"> Mother Tongue and Filipino</a:t>
            </a:r>
          </a:p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By Reading Profile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'Class Summary'!$K$18</f>
              <strCache>
                <ptCount val="1"/>
                <pt idx="0">
                  <v>Low Emerging Reader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Summary'!$K$19:$K$24</f>
              <numCache>
                <formatCode>0%</formatCode>
                <ptCount val="6"/>
                <pt idx="0">
                  <v>0.4615384615384616</v>
                </pt>
                <pt idx="1">
                  <v>0.4545454545454545</v>
                </pt>
                <pt idx="2">
                  <v>0.4583333333333333</v>
                </pt>
                <pt idx="3">
                  <v>0.4615384615384616</v>
                </pt>
                <pt idx="4">
                  <v>0.4545454545454545</v>
                </pt>
                <pt idx="5">
                  <v>0.4583333333333333</v>
                </pt>
              </numCache>
            </numRef>
          </val>
        </ser>
        <ser>
          <idx val="1"/>
          <order val="1"/>
          <tx>
            <strRef>
              <f>'Class Summary'!$L$18</f>
              <strCache>
                <ptCount val="1"/>
                <pt idx="0">
                  <v>High Emerging Reader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Summary'!$L$19:$L$24</f>
              <numCache>
                <formatCode>0%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'Class Summary'!$M$18</f>
              <strCache>
                <ptCount val="1"/>
                <pt idx="0">
                  <v>Developing Reader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Summary'!$M$19:$M$24</f>
              <numCache>
                <formatCode>0%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3"/>
          <order val="3"/>
          <tx>
            <strRef>
              <f>'Class Summary'!$N$18</f>
              <strCache>
                <ptCount val="1"/>
                <pt idx="0">
                  <v>Transitioning Reader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Summary'!$N$19:$N$24</f>
              <numCache>
                <formatCode>0%</formatCode>
                <ptCount val="6"/>
                <pt idx="0">
                  <v>0.5384615384615384</v>
                </pt>
                <pt idx="1">
                  <v>0.4545454545454545</v>
                </pt>
                <pt idx="2">
                  <v>0.5</v>
                </pt>
                <pt idx="3">
                  <v>0.5384615384615384</v>
                </pt>
                <pt idx="4">
                  <v>0.4545454545454545</v>
                </pt>
                <pt idx="5">
                  <v>0.5</v>
                </pt>
              </numCache>
            </numRef>
          </val>
        </ser>
        <ser>
          <idx val="4"/>
          <order val="4"/>
          <tx>
            <strRef>
              <f>'Class Summary'!$O$18</f>
              <strCache>
                <ptCount val="1"/>
                <pt idx="0">
                  <v>Reading At Grade Level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Summary'!$O$19:$O$24</f>
              <numCache>
                <formatCode>0%</formatCode>
                <ptCount val="6"/>
                <pt idx="0">
                  <v>0</v>
                </pt>
                <pt idx="1">
                  <v>0.09090909090909091</v>
                </pt>
                <pt idx="2">
                  <v>0.04166666666666666</v>
                </pt>
                <pt idx="3">
                  <v>0</v>
                </pt>
                <pt idx="4">
                  <v>0.09090909090909091</v>
                </pt>
                <pt idx="5">
                  <v>0.04166666666666666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94928544"/>
        <axId val="194934368"/>
      </barChart>
      <catAx>
        <axId val="194928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34368"/>
        <crosses val="autoZero"/>
        <auto val="1"/>
        <lblAlgn val="ctr"/>
        <lblOffset val="100"/>
        <noMultiLvlLbl val="0"/>
      </catAx>
      <valAx>
        <axId val="1949343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28544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Reading Fluency and Comprehension Average Percentage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'Class Summary'!$H$18</f>
              <strCache>
                <ptCount val="1"/>
                <pt idx="0">
                  <v>Reading Fluency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Summary'!$H$19:$H$24</f>
              <numCache>
                <formatCode>0%</formatCode>
                <ptCount val="6"/>
                <pt idx="0">
                  <v>0.9488721804511278</v>
                </pt>
                <pt idx="1">
                  <v>1</v>
                </pt>
                <pt idx="2">
                  <v>0.9744360902255639</v>
                </pt>
                <pt idx="3">
                  <v>0.9488721804511278</v>
                </pt>
                <pt idx="4">
                  <v>1</v>
                </pt>
                <pt idx="5">
                  <v>0.9744360902255639</v>
                </pt>
              </numCache>
            </numRef>
          </val>
        </ser>
        <ser>
          <idx val="1"/>
          <order val="1"/>
          <tx>
            <strRef>
              <f>'Class Summary'!$I$18</f>
              <strCache>
                <ptCount val="1"/>
                <pt idx="0">
                  <v>Reading Comprehension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Summary'!$I$19:$I$24</f>
              <numCache>
                <formatCode>0%</formatCode>
                <ptCount val="6"/>
                <pt idx="0">
                  <v>0.3095238095238095</v>
                </pt>
                <pt idx="1">
                  <v>0.5555555555555555</v>
                </pt>
                <pt idx="2">
                  <v>0.4325396825396824</v>
                </pt>
                <pt idx="3">
                  <v>0.3095238095238095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94928544"/>
        <axId val="194934368"/>
      </barChart>
      <catAx>
        <axId val="194928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34368"/>
        <crosses val="autoZero"/>
        <auto val="1"/>
        <lblAlgn val="ctr"/>
        <lblOffset val="100"/>
        <noMultiLvlLbl val="0"/>
      </catAx>
      <valAx>
        <axId val="1949343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28544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Reading Fluency and Comprehension Average Words Per Minute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472988703553637"/>
          <y val="0.0285612281328097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'Class Summary'!$J$18</f>
              <strCache>
                <ptCount val="1"/>
                <pt idx="0">
                  <v>Words Per Minute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Male</v>
                  </pt>
                  <pt idx="1">
                    <v>Female</v>
                  </pt>
                  <pt idx="2">
                    <v>Total</v>
                  </pt>
                  <pt idx="3">
                    <v>Male</v>
                  </pt>
                  <pt idx="4">
                    <v>Female</v>
                  </pt>
                  <pt idx="5">
                    <v>Total</v>
                  </pt>
                </lvl>
                <lvl>
                  <pt idx="0">
                    <v>Tagalog</v>
                  </pt>
                  <pt idx="1">
                    <v>Tagalog</v>
                  </pt>
                  <pt idx="2">
                    <v>Tagalog</v>
                  </pt>
                  <pt idx="3">
                    <v>Filipino</v>
                  </pt>
                  <pt idx="4">
                    <v>Filipino</v>
                  </pt>
                  <pt idx="5">
                    <v>Filipino</v>
                  </pt>
                </lvl>
              </multiLvlStrCache>
              <f>'Class Summary'!$A$19:$B$24</f>
            </multiLvlStrRef>
          </cat>
          <val>
            <numRef>
              <f>'Class Summary'!$J$19:$J$24</f>
              <numCache>
                <formatCode>0.00</formatCode>
                <ptCount val="6"/>
                <pt idx="0">
                  <v>45.07142857142857</v>
                </pt>
                <pt idx="1">
                  <v>47.56652661064425</v>
                </pt>
                <pt idx="2">
                  <v>46.31897759103641</v>
                </pt>
                <pt idx="3">
                  <v>45.07142857142857</v>
                </pt>
                <pt idx="4">
                  <v>47.56652661064425</v>
                </pt>
                <pt idx="5">
                  <v>46.31897759103641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94928544"/>
        <axId val="194934368"/>
      </barChart>
      <catAx>
        <axId val="194928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34368"/>
        <crosses val="autoZero"/>
        <auto val="1"/>
        <lblAlgn val="ctr"/>
        <lblOffset val="100"/>
        <noMultiLvlLbl val="0"/>
      </catAx>
      <valAx>
        <axId val="1949343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492854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2.png" Id="rId6"/><Relationship Type="http://schemas.openxmlformats.org/officeDocument/2006/relationships/image" Target="/xl/media/image13.png" Id="rId7"/></Relationships>
</file>

<file path=xl/drawings/_rels/drawing5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848360</colOff>
      <row>110</row>
      <rowOff>57150</rowOff>
    </from>
    <to>
      <col>21</col>
      <colOff>1504950</colOff>
      <row>113</row>
      <rowOff>137159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050260" y="21116925"/>
          <a:ext cx="2243455" cy="62674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22859</colOff>
      <row>5</row>
      <rowOff>19051</rowOff>
    </from>
    <to>
      <col>22</col>
      <colOff>697</colOff>
      <row>9</row>
      <rowOff>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272009" y="1343026"/>
          <a:ext cx="6816091" cy="11620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188026</colOff>
      <row>0</row>
      <rowOff>79168</rowOff>
    </from>
    <to>
      <col>11</col>
      <colOff>228971</colOff>
      <row>2</row>
      <rowOff>298367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31870" y="79168"/>
          <a:ext cx="6315075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20</col>
      <colOff>771896</colOff>
      <row>0</row>
      <rowOff>0</rowOff>
    </from>
    <to>
      <col>21</col>
      <colOff>2331468</colOff>
      <row>2</row>
      <rowOff>266932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140545" y="0"/>
          <a:ext cx="3162741" cy="7716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20</col>
      <colOff>549275</colOff>
      <row>110</row>
      <rowOff>15241</rowOff>
    </from>
    <to>
      <col>21</col>
      <colOff>1352550</colOff>
      <row>113</row>
      <rowOff>19050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865475" y="20989291"/>
          <a:ext cx="2237740" cy="54292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9525</colOff>
      <row>4</row>
      <rowOff>171450</rowOff>
    </from>
    <to>
      <col>22</col>
      <colOff>95079</colOff>
      <row>9</row>
      <rowOff>19532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2975" y="1266825"/>
          <a:ext cx="6819729" cy="1162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178130</colOff>
      <row>0</row>
      <rowOff>69273</rowOff>
    </from>
    <to>
      <col>11</col>
      <colOff>130010</colOff>
      <row>2</row>
      <rowOff>288472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443844" y="69273"/>
          <a:ext cx="6315075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20</col>
      <colOff>633352</colOff>
      <row>0</row>
      <rowOff>0</rowOff>
    </from>
    <to>
      <col>22</col>
      <colOff>15781</colOff>
      <row>2</row>
      <rowOff>266932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912936" y="0"/>
          <a:ext cx="3162741" cy="7716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16</col>
      <colOff>262890</colOff>
      <row>108</row>
      <rowOff>28574</rowOff>
    </from>
    <to>
      <col>16</col>
      <colOff>2512127</colOff>
      <row>111</row>
      <rowOff>60959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559540" y="20154899"/>
          <a:ext cx="2249237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152400</colOff>
      <row>0</row>
      <rowOff>167640</rowOff>
    </from>
    <to>
      <col>6</col>
      <colOff>173355</colOff>
      <row>3</row>
      <rowOff>297180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0" y="167640"/>
          <a:ext cx="6315075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1348740</colOff>
      <row>0</row>
      <rowOff>0</rowOff>
    </from>
    <to>
      <col>16</col>
      <colOff>2751261</colOff>
      <row>3</row>
      <rowOff>177273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720060" y="0"/>
          <a:ext cx="3162741" cy="7716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545703</colOff>
      <row>46</row>
      <rowOff>133667</rowOff>
    </from>
    <to>
      <col>17</col>
      <colOff>162560</colOff>
      <row>66</row>
      <rowOff>124777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41277</colOff>
      <row>13</row>
      <rowOff>293211</rowOff>
    </from>
    <to>
      <col>18</col>
      <colOff>543403</colOff>
      <row>27</row>
      <rowOff>33576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555308</colOff>
      <row>25</row>
      <rowOff>150812</rowOff>
    </from>
    <to>
      <col>17</col>
      <colOff>188515</colOff>
      <row>45</row>
      <rowOff>115888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174784</colOff>
      <row>67</row>
      <rowOff>148828</rowOff>
    </from>
    <to>
      <col>10</col>
      <colOff>218282</colOff>
      <row>87</row>
      <rowOff>134223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10</col>
      <colOff>342899</colOff>
      <row>67</row>
      <rowOff>166370</rowOff>
    </from>
    <to>
      <col>18</col>
      <colOff>496093</colOff>
      <row>87</row>
      <rowOff>151765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14</col>
      <colOff>586502</colOff>
      <row>88</row>
      <rowOff>48337</rowOff>
    </from>
    <to>
      <col>18</col>
      <colOff>361790</colOff>
      <row>91</row>
      <rowOff>154939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1867674" y="17540603"/>
          <a:ext cx="2543491" cy="6423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79375</colOff>
      <row>0</row>
      <rowOff>119063</rowOff>
    </from>
    <to>
      <col>19</col>
      <colOff>36512</colOff>
      <row>4</row>
      <rowOff>96838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8509000" y="119063"/>
          <a:ext cx="6315075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801191</colOff>
      <row>12</row>
      <rowOff>91440</rowOff>
    </from>
    <to>
      <col>6</col>
      <colOff>260918</colOff>
      <row>43</row>
      <rowOff>3296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01191" y="3339465"/>
          <a:ext cx="9984852" cy="55220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110"/>
  <sheetViews>
    <sheetView tabSelected="1" zoomScale="77" zoomScaleNormal="78" workbookViewId="0">
      <pane xSplit="3" ySplit="10" topLeftCell="D11" activePane="bottomRight" state="frozen"/>
      <selection pane="topRight" activeCell="D1" sqref="D1"/>
      <selection pane="bottomLeft" activeCell="A9" sqref="A9"/>
      <selection pane="bottomRight" activeCell="V359" sqref="V359"/>
    </sheetView>
  </sheetViews>
  <sheetFormatPr baseColWidth="8" defaultColWidth="0" defaultRowHeight="14.4"/>
  <cols>
    <col width="4.6640625" customWidth="1" style="346" min="1" max="1"/>
    <col width="15.44140625" customWidth="1" style="3" min="2" max="2"/>
    <col width="30.109375" customWidth="1" style="346" min="3" max="3"/>
    <col width="12.109375" customWidth="1" style="295" min="4" max="4"/>
    <col width="11.6640625" customWidth="1" style="295" min="5" max="5"/>
    <col width="9.5546875" customWidth="1" style="295" min="6" max="6"/>
    <col width="8.33203125" customWidth="1" style="295" min="7" max="7"/>
    <col width="9.33203125" customWidth="1" style="295" min="8" max="8"/>
    <col width="10.44140625" customWidth="1" style="295" min="9" max="9"/>
    <col width="20.33203125" customWidth="1" style="2" min="10" max="10"/>
    <col width="9.6640625" customWidth="1" style="295" min="11" max="11"/>
    <col width="8.6640625" customWidth="1" style="295" min="12" max="12"/>
    <col width="9.5546875" customWidth="1" style="295" min="13" max="13"/>
    <col width="6.109375" customWidth="1" style="295" min="14" max="14"/>
    <col width="5.109375" customWidth="1" style="295" min="15" max="15"/>
    <col width="10.33203125" customWidth="1" style="295" min="16" max="16"/>
    <col width="9.5546875" customWidth="1" style="295" min="17" max="17"/>
    <col width="10.88671875" customWidth="1" style="295" min="18" max="18"/>
    <col width="11.6640625" customWidth="1" style="295" min="19" max="19"/>
    <col width="10.6640625" customWidth="1" style="295" min="20" max="20"/>
    <col width="23.33203125" customWidth="1" style="295" min="21" max="21"/>
    <col width="34" customWidth="1" style="346" min="22" max="22"/>
    <col width="8.88671875" customWidth="1" style="346" min="23" max="23"/>
    <col width="10.6640625" customWidth="1" style="346" min="24" max="30"/>
    <col hidden="1" width="10.6640625" customWidth="1" style="346" min="31" max="32"/>
    <col hidden="1" width="10.6640625" customWidth="1" style="346" min="33" max="16384"/>
  </cols>
  <sheetData>
    <row r="1" ht="22.2" customHeight="1" s="346">
      <c r="A1" t="inlineStr">
        <is>
          <t>CRLA3v1</t>
        </is>
      </c>
    </row>
    <row r="2" ht="18" customHeight="1" s="346" thickBot="1"/>
    <row r="3" ht="27" customHeight="1" s="346" thickBot="1">
      <c r="A3" s="297" t="inlineStr">
        <is>
          <t>ASSESSMENT TYPE</t>
        </is>
      </c>
      <c r="B3" s="298" t="n"/>
      <c r="C3" s="153" t="inlineStr">
        <is>
          <t>BoSY</t>
        </is>
      </c>
      <c r="S3" s="283" t="n"/>
    </row>
    <row r="4" ht="18.6" customHeight="1" s="346" thickBot="1">
      <c r="A4" s="314" t="inlineStr">
        <is>
          <t>School ID:</t>
        </is>
      </c>
      <c r="B4" s="285" t="n"/>
      <c r="C4" s="154" t="n">
        <v>107136</v>
      </c>
      <c r="D4" s="149" t="inlineStr">
        <is>
          <t>Total Enrolment</t>
        </is>
      </c>
      <c r="E4" s="60" t="n"/>
      <c r="F4" s="124">
        <f>D6+E6</f>
        <v/>
      </c>
      <c r="G4" s="315" t="inlineStr">
        <is>
          <t>Total Assessed :</t>
        </is>
      </c>
      <c r="H4" s="316" t="n"/>
      <c r="I4" s="125">
        <f>COUNTIF(F11:F110,"&lt;&gt;")</f>
        <v/>
      </c>
      <c r="J4" s="61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3" t="n"/>
    </row>
    <row r="5" ht="18" customHeight="1" s="346">
      <c r="A5" s="329" t="inlineStr">
        <is>
          <t>Schoo Name:</t>
        </is>
      </c>
      <c r="B5" s="292" t="n"/>
      <c r="C5" s="155" t="inlineStr">
        <is>
          <t>NELLIE E. BROWN E/S</t>
        </is>
      </c>
      <c r="D5" s="150" t="inlineStr">
        <is>
          <t>Male</t>
        </is>
      </c>
      <c r="E5" s="21" t="inlineStr">
        <is>
          <t>Female</t>
        </is>
      </c>
      <c r="F5" s="324" t="inlineStr">
        <is>
          <t>Assessment Part 1
(Word Recognition and Sentences Reading)</t>
        </is>
      </c>
      <c r="G5" s="290" t="n"/>
      <c r="H5" s="290" t="n"/>
      <c r="I5" s="290" t="n"/>
      <c r="J5" s="299" t="inlineStr">
        <is>
          <t>WORDS SCORE 
0 to 10 – Full Refresher
11 to 16 – Moderate Refresher
SENTENCE SCORE 
17 to 26 – Light Refresher
27 to 30 – Grade Ready</t>
        </is>
      </c>
      <c r="K5" s="294" t="inlineStr">
        <is>
          <t>Assessment Part 2
 (Reading Fluency and Comprehension)</t>
        </is>
      </c>
      <c r="Q5" s="114" t="n"/>
      <c r="R5" s="114" t="n"/>
      <c r="S5" s="114" t="n"/>
      <c r="T5" s="114" t="n"/>
      <c r="U5" s="114" t="n"/>
      <c r="V5" s="115" t="n"/>
    </row>
    <row r="6" ht="19.95" customHeight="1" s="346">
      <c r="A6" s="293" t="inlineStr">
        <is>
          <t>Teacher:</t>
        </is>
      </c>
      <c r="B6" s="285" t="n"/>
      <c r="C6" s="155" t="n"/>
      <c r="D6" s="151" t="n">
        <v>13</v>
      </c>
      <c r="E6" s="30" t="n">
        <v>11</v>
      </c>
      <c r="F6" s="291" t="n"/>
      <c r="G6" s="292" t="n"/>
      <c r="H6" s="292" t="n"/>
      <c r="I6" s="292" t="n"/>
      <c r="J6" s="300" t="n"/>
      <c r="K6" s="291" t="n"/>
      <c r="L6" s="292" t="n"/>
      <c r="M6" s="292" t="n"/>
      <c r="N6" s="292" t="n"/>
      <c r="O6" s="292" t="n"/>
      <c r="P6" s="292" t="n"/>
      <c r="Q6" s="309" t="n"/>
      <c r="R6" s="290" t="n"/>
      <c r="S6" s="290" t="n"/>
      <c r="T6" s="310" t="n"/>
      <c r="U6" s="317" t="n"/>
      <c r="V6" s="300" t="n"/>
    </row>
    <row r="7" ht="36" customHeight="1" s="346">
      <c r="A7" s="293" t="inlineStr">
        <is>
          <t>Grade:</t>
        </is>
      </c>
      <c r="B7" s="285" t="n"/>
      <c r="C7" s="156" t="inlineStr">
        <is>
          <t>Grade 2</t>
        </is>
      </c>
      <c r="D7" s="325" t="inlineStr">
        <is>
          <t>Total Words per Story</t>
        </is>
      </c>
      <c r="E7" s="326" t="n"/>
      <c r="F7" s="327" t="inlineStr">
        <is>
          <t>Task 1 – Write the number of letters sounded out correctly</t>
        </is>
      </c>
      <c r="G7" s="322" t="inlineStr">
        <is>
          <t>Rhymes 
(Task 2) 
If task 1 score is 0 to 6</t>
        </is>
      </c>
      <c r="H7" s="322" t="inlineStr">
        <is>
          <t>Sentence
 (Task 2) 
If task 1 score is 7 to 10
Task 2L=10</t>
        </is>
      </c>
      <c r="I7" s="330" t="inlineStr">
        <is>
          <t>Total Score = Task 1 Score + Task 2L+Task 2H Score</t>
        </is>
      </c>
      <c r="J7" s="300" t="n"/>
      <c r="K7" s="126" t="inlineStr">
        <is>
          <t>Total Words Per Story</t>
        </is>
      </c>
      <c r="L7" s="284" t="inlineStr">
        <is>
          <t>Story 1</t>
        </is>
      </c>
      <c r="M7" s="117">
        <f>_xlfn.IFNA(IF(X9=1,Y9,IF(D9&gt;0,D9,95)),"")</f>
        <v/>
      </c>
      <c r="N7" s="284" t="inlineStr">
        <is>
          <t>Story 2</t>
        </is>
      </c>
      <c r="O7" s="285" t="n"/>
      <c r="P7" s="117">
        <f>_xlfn.IFNA(IF(X9=1,Z9,IF(E9&gt;0,E9,95)),"")</f>
        <v/>
      </c>
      <c r="Q7" s="311" t="n"/>
      <c r="T7" s="300" t="n"/>
      <c r="V7" s="300" t="n"/>
    </row>
    <row r="8" ht="17.4" customHeight="1" s="346">
      <c r="A8" s="293" t="inlineStr">
        <is>
          <t>Section:</t>
        </is>
      </c>
      <c r="B8" s="285" t="n"/>
      <c r="C8" s="155" t="inlineStr">
        <is>
          <t>WISDOM</t>
        </is>
      </c>
      <c r="D8" s="152" t="inlineStr">
        <is>
          <t>Story 1</t>
        </is>
      </c>
      <c r="E8" s="62" t="inlineStr">
        <is>
          <t>Story 2</t>
        </is>
      </c>
      <c r="F8" s="303" t="n"/>
      <c r="G8" s="287" t="n"/>
      <c r="H8" s="287" t="n"/>
      <c r="I8" s="287" t="n"/>
      <c r="J8" s="300" t="n"/>
      <c r="K8" s="302" t="inlineStr">
        <is>
          <t>Story Number 
1 or 2</t>
        </is>
      </c>
      <c r="L8" s="286" t="inlineStr">
        <is>
          <t>Total Reading Miscues</t>
        </is>
      </c>
      <c r="M8" s="286" t="inlineStr">
        <is>
          <t>Number of words read within 2 mins</t>
        </is>
      </c>
      <c r="N8" s="286" t="inlineStr">
        <is>
          <t>Total Time Used in Reading 
(Max : 2 Mins)</t>
        </is>
      </c>
      <c r="O8" s="319" t="n"/>
      <c r="P8" s="296" t="inlineStr">
        <is>
          <t>Number of Words per Minute (WPM)</t>
        </is>
      </c>
      <c r="Q8" s="311" t="n"/>
      <c r="T8" s="300" t="n"/>
      <c r="V8" s="300" t="n"/>
    </row>
    <row r="9" ht="20.4" customHeight="1" s="346" thickBot="1">
      <c r="A9" s="318" t="inlineStr">
        <is>
          <t>Language:</t>
        </is>
      </c>
      <c r="B9" s="290" t="n"/>
      <c r="C9" s="282" t="inlineStr">
        <is>
          <t>Tagalog</t>
        </is>
      </c>
      <c r="D9" s="190" t="n"/>
      <c r="E9" s="191" t="n"/>
      <c r="F9" s="328" t="n"/>
      <c r="G9" s="323" t="n"/>
      <c r="H9" s="323" t="n"/>
      <c r="I9" s="287" t="n"/>
      <c r="J9" s="300" t="n"/>
      <c r="K9" s="304" t="n"/>
      <c r="L9" s="288" t="n"/>
      <c r="M9" s="288" t="n"/>
      <c r="N9" s="320" t="n"/>
      <c r="O9" s="321" t="n"/>
      <c r="P9" s="288" t="n"/>
      <c r="Q9" s="311" t="n"/>
      <c r="T9" s="300" t="n"/>
      <c r="V9" s="300" t="n"/>
      <c r="X9" s="111">
        <f>IF(_xlfn.IFNA(VLOOKUP($C$9,List!$G$2:$M$20,1,0),"")=C9,1,0)</f>
        <v/>
      </c>
      <c r="Y9" s="111">
        <f>VLOOKUP($C$9,List!$G$2:$M$20,4,0)</f>
        <v/>
      </c>
      <c r="Z9" s="111">
        <f>VLOOKUP($C$9,List!$G$2:$M$20,7,0)</f>
        <v/>
      </c>
    </row>
    <row r="10" ht="35.4" customHeight="1" s="346" thickBot="1">
      <c r="A10" s="22" t="inlineStr">
        <is>
          <t>S/N</t>
        </is>
      </c>
      <c r="B10" s="23" t="inlineStr">
        <is>
          <t>LRN</t>
        </is>
      </c>
      <c r="C10" s="18" t="inlineStr">
        <is>
          <t>Name of Learner</t>
        </is>
      </c>
      <c r="D10" s="24" t="inlineStr">
        <is>
          <t>Sex</t>
        </is>
      </c>
      <c r="E10" s="25" t="inlineStr">
        <is>
          <t>Date of Asessment</t>
        </is>
      </c>
      <c r="F10" s="206" t="inlineStr">
        <is>
          <t>Task 1 
(10)</t>
        </is>
      </c>
      <c r="G10" s="207" t="inlineStr">
        <is>
          <t>Task 2L
Words 
(10)</t>
        </is>
      </c>
      <c r="H10" s="207" t="inlineStr">
        <is>
          <t>Task 2H
Sentences
(10)</t>
        </is>
      </c>
      <c r="I10" s="26" t="inlineStr">
        <is>
          <t>Total Score</t>
        </is>
      </c>
      <c r="J10" s="19" t="inlineStr">
        <is>
          <t>Part 1 Reading Level</t>
        </is>
      </c>
      <c r="K10" s="27" t="inlineStr">
        <is>
          <t>Story Number</t>
        </is>
      </c>
      <c r="L10" s="116" t="inlineStr">
        <is>
          <t>Number of Miscue</t>
        </is>
      </c>
      <c r="M10" s="307" t="inlineStr">
        <is>
          <t>Words Read</t>
        </is>
      </c>
      <c r="N10" s="307" t="inlineStr">
        <is>
          <t>Total 
Mins    Secs</t>
        </is>
      </c>
      <c r="O10" s="308" t="n"/>
      <c r="P10" s="307" t="inlineStr">
        <is>
          <t>WPM</t>
        </is>
      </c>
      <c r="Q10" s="28" t="inlineStr">
        <is>
          <t>% of Correct Words Read</t>
        </is>
      </c>
      <c r="R10" s="307" t="inlineStr">
        <is>
          <t>Total Correct Answer</t>
        </is>
      </c>
      <c r="S10" s="28" t="inlineStr">
        <is>
          <t>Leaner Experience
(Rating 1-5)</t>
        </is>
      </c>
      <c r="T10" s="29" t="inlineStr">
        <is>
          <t>Observation Level</t>
        </is>
      </c>
      <c r="U10" s="59" t="inlineStr">
        <is>
          <t>READING PROFILE</t>
        </is>
      </c>
      <c r="V10" s="17" t="inlineStr">
        <is>
          <t>Remarks</t>
        </is>
      </c>
    </row>
    <row r="11">
      <c r="A11" s="328" t="n">
        <v>1</v>
      </c>
      <c r="B11" s="72" t="n">
        <v>123456789012</v>
      </c>
      <c r="C11" s="63" t="inlineStr">
        <is>
          <t>Johnny Lee</t>
        </is>
      </c>
      <c r="D11" s="64" t="inlineStr">
        <is>
          <t>Male</t>
        </is>
      </c>
      <c r="E11" s="65" t="n">
        <v>45833</v>
      </c>
      <c r="F11" s="66" t="n">
        <v>9</v>
      </c>
      <c r="G11" s="67" t="n"/>
      <c r="H11" s="67" t="n">
        <v>10</v>
      </c>
      <c r="I11" s="68">
        <f>IF(AND(F11="",G11=""),"",IF(F11&lt;7,F11+G11,F11+10+H11))</f>
        <v/>
      </c>
      <c r="J11" s="69">
        <f>IF(I11="","",IF(F11&lt;7,IF(I11&lt;=10,"Full Refresher","Moderate Refresher"),IF(I11&lt;27,"Light Refresher","Grade Ready")))</f>
        <v/>
      </c>
      <c r="K11" s="70" t="n">
        <v>2</v>
      </c>
      <c r="L11" s="71" t="n">
        <v>3</v>
      </c>
      <c r="M11" s="118">
        <f>IF($C$9&lt;&gt;"",IF(OR(K11=1, K11=2),IF(K11=1,M$7-L11,$P$7-L11),""),"")</f>
        <v/>
      </c>
      <c r="N11" s="72" t="n">
        <v>2</v>
      </c>
      <c r="O11" s="72" t="n">
        <v>0</v>
      </c>
      <c r="P11" s="120">
        <f>IF(AND(K11&gt;0,M11&gt;0,OR(N11&gt;0,O11&gt;0)),(M11/((N11*60)+O11))*60,"")</f>
        <v/>
      </c>
      <c r="Q11" s="121">
        <f>IFERROR(IF(OR(K11=1, K11=2),IF(K11=1,M11/$M$7,M11/$P$7),""),"")</f>
        <v/>
      </c>
      <c r="R11" s="72" t="n">
        <v>4</v>
      </c>
      <c r="S11" s="72" t="n">
        <v>4</v>
      </c>
      <c r="T11" s="73" t="inlineStr">
        <is>
          <t>Level 3</t>
        </is>
      </c>
      <c r="U11" s="74">
        <f>IF(J11&lt;&gt;"",IF(J11="Full Refresher","Low Emerging Reader",IF(AND(K11&gt;0,Q11&lt;&gt;""),IF(OR(Q11&lt;=25%,AND(Q11&gt;25%,Q11&lt;=50%, R11=0)),"High Emerging Reader",IF(OR(AND(Q11&gt;25%,Q11&lt;51%, R11&gt;=1),AND(Q11&gt;50%,Q11&lt;76%,R11&lt;=2)),"Developing Reader",IF(OR(AND(Q11&gt;=51%, Q11&lt;76%,R11&gt;=3),AND(Q11&gt;75%,R11&lt;=4)),"Transitioning Reader",IF(AND(Q11&gt;75%,R11&gt;=5),"Reading At Grade Level","")))),"")),"")</f>
        <v/>
      </c>
      <c r="V11" s="75" t="n"/>
      <c r="Y11" s="221">
        <f>IF(C11&lt;&gt;"",R11/6,"")</f>
        <v/>
      </c>
    </row>
    <row r="12">
      <c r="A12" s="4" t="n">
        <v>2</v>
      </c>
      <c r="B12" s="85" t="n">
        <v>123456789013</v>
      </c>
      <c r="C12" s="76" t="inlineStr">
        <is>
          <t>Nicolas Santos</t>
        </is>
      </c>
      <c r="D12" s="77" t="inlineStr">
        <is>
          <t>Male</t>
        </is>
      </c>
      <c r="E12" s="78" t="n">
        <v>45833</v>
      </c>
      <c r="F12" s="79" t="n">
        <v>10</v>
      </c>
      <c r="G12" s="80" t="n"/>
      <c r="H12" s="80" t="n">
        <v>10</v>
      </c>
      <c r="I12" s="81">
        <f>IF(AND(F12="",G12=""),"",IF(F12&lt;7,F12+G12,F12+10+H12))</f>
        <v/>
      </c>
      <c r="J12" s="82">
        <f>IF(I12="","",IF(F12&lt;7,IF(I12&lt;=10,"Full Refresher","Moderate Refresher"),IF(I12&lt;27,"Light Refresher","Grade Ready")))</f>
        <v/>
      </c>
      <c r="K12" s="83" t="n">
        <v>2</v>
      </c>
      <c r="L12" s="84" t="n">
        <v>0</v>
      </c>
      <c r="M12" s="118">
        <f>IF($C$9&lt;&gt;"",IF(OR(K12=1, K12=2),IF(K12=1,M$7-L12,$P$7-L12),""),"")</f>
        <v/>
      </c>
      <c r="N12" s="85" t="n">
        <v>2</v>
      </c>
      <c r="O12" s="85" t="n">
        <v>0</v>
      </c>
      <c r="P12" s="118">
        <f>IF(AND(K12&gt;0,M12&gt;0,OR(N12&gt;0,O12&gt;0)),(M12/((N12*60)+O12))*60,"")</f>
        <v/>
      </c>
      <c r="Q12" s="122">
        <f>IFERROR(IF(OR(K12=1, K12=2),IF(K12=1,M12/$M$7,M12/$P$7),""),"")</f>
        <v/>
      </c>
      <c r="R12" s="85" t="n">
        <v>4</v>
      </c>
      <c r="S12" s="85" t="n">
        <v>4</v>
      </c>
      <c r="T12" s="86" t="inlineStr">
        <is>
          <t>Level 3</t>
        </is>
      </c>
      <c r="U12" s="87">
        <f>IF(J12&lt;&gt;"",IF(J12="Full Refresher","Low Emerging Reader",IF(AND(K12&gt;0,Q12&lt;&gt;""),IF(OR(Q12&lt;=25%,AND(Q12&gt;25%,Q12&lt;=50%, R12=0)),"High Emerging Reader",IF(OR(AND(Q12&gt;25%,Q12&lt;51%, R12&gt;=1),AND(Q12&gt;50%,Q12&lt;76%,R12&lt;=2)),"Developing Reader",IF(OR(AND(Q12&gt;=51%, Q12&lt;76%,R12&gt;=3),AND(Q12&gt;75%,R12&lt;=4)),"Transitioning Reader",IF(AND(Q12&gt;75%,R12&gt;=5),"Reading At Grade Level","")))),"")),"")</f>
        <v/>
      </c>
      <c r="V12" s="88" t="n"/>
      <c r="Y12" s="221">
        <f>IF(C12&lt;&gt;"",R12/6,"")</f>
        <v/>
      </c>
    </row>
    <row r="13">
      <c r="A13" s="5" t="n">
        <v>3</v>
      </c>
      <c r="B13" s="93" t="n">
        <v>123456789014</v>
      </c>
      <c r="C13" s="89" t="inlineStr">
        <is>
          <t>Luffy De Guzman</t>
        </is>
      </c>
      <c r="D13" s="90" t="inlineStr">
        <is>
          <t>Male</t>
        </is>
      </c>
      <c r="E13" s="91" t="n">
        <v>45835</v>
      </c>
      <c r="F13" s="92" t="n">
        <v>0</v>
      </c>
      <c r="G13" s="67" t="n">
        <v>0</v>
      </c>
      <c r="H13" s="93" t="n"/>
      <c r="I13" s="81">
        <f>IF(AND(F13="",G13=""),"",IF(F13&lt;7,F13+G13,F13+10+H13))</f>
        <v/>
      </c>
      <c r="J13" s="82">
        <f>IF(I13="","",IF(F13&lt;7,IF(I13&lt;=10,"Full Refresher","Moderate Refresher"),IF(I13&lt;27,"Light Refresher","Grade Ready")))</f>
        <v/>
      </c>
      <c r="K13" s="94" t="n"/>
      <c r="L13" s="95" t="n"/>
      <c r="M13" s="118">
        <f>IF($C$9&lt;&gt;"",IF(OR(K13=1, K13=2),IF(K13=1,M$7-L13,$P$7-L13),""),"")</f>
        <v/>
      </c>
      <c r="N13" s="93" t="n"/>
      <c r="O13" s="93" t="n"/>
      <c r="P13" s="118">
        <f>IF(AND(K13&gt;0,M13&gt;0,OR(N13&gt;0,O13&gt;0)),(M13/((N13*60)+O13))*60,"")</f>
        <v/>
      </c>
      <c r="Q13" s="122">
        <f>IFERROR(IF(OR(K13=1, K13=2),IF(K13=1,M13/$M$7,M13/$P$7),""),"")</f>
        <v/>
      </c>
      <c r="R13" s="93" t="n"/>
      <c r="S13" s="93" t="n"/>
      <c r="T13" s="96" t="n"/>
      <c r="U13" s="87">
        <f>IF(J13&lt;&gt;"",IF(J13="Full Refresher","Low Emerging Reader",IF(AND(K13&gt;0,Q13&lt;&gt;""),IF(OR(Q13&lt;=25%,AND(Q13&gt;25%,Q13&lt;=50%, R13=0)),"High Emerging Reader",IF(OR(AND(Q13&gt;25%,Q13&lt;51%, R13&gt;=1),AND(Q13&gt;50%,Q13&lt;76%,R13&lt;=2)),"Developing Reader",IF(OR(AND(Q13&gt;=51%, Q13&lt;76%,R13&gt;=3),AND(Q13&gt;75%,R13&lt;=4)),"Transitioning Reader",IF(AND(Q13&gt;75%,R13&gt;=5),"Reading At Grade Level","")))),"")),"")</f>
        <v/>
      </c>
      <c r="V13" s="97" t="n"/>
      <c r="Y13" s="221">
        <f>IF(C13&lt;&gt;"",R13/6,"")</f>
        <v/>
      </c>
    </row>
    <row r="14">
      <c r="A14" s="4" t="n">
        <v>4</v>
      </c>
      <c r="B14" s="85" t="n">
        <v>123456789015</v>
      </c>
      <c r="C14" s="76" t="inlineStr">
        <is>
          <t>Zoro Dalisay</t>
        </is>
      </c>
      <c r="D14" s="77" t="inlineStr">
        <is>
          <t>Male</t>
        </is>
      </c>
      <c r="E14" s="78" t="n">
        <v>45834</v>
      </c>
      <c r="F14" s="79" t="n">
        <v>0</v>
      </c>
      <c r="G14" s="80" t="n">
        <v>0</v>
      </c>
      <c r="H14" s="85" t="n">
        <v>7</v>
      </c>
      <c r="I14" s="81">
        <f>IF(AND(F14="",G14=""),"",IF(F14&lt;7,F14+G14,F14+10+H14))</f>
        <v/>
      </c>
      <c r="J14" s="82">
        <f>IF(I14="","",IF(F14&lt;7,IF(I14&lt;=10,"Full Refresher","Moderate Refresher"),IF(I14&lt;27,"Light Refresher","Grade Ready")))</f>
        <v/>
      </c>
      <c r="K14" s="83" t="n"/>
      <c r="L14" s="84" t="n"/>
      <c r="M14" s="118">
        <f>IF($C$9&lt;&gt;"",IF(OR(K14=1, K14=2),IF(K14=1,M$7-L14,$P$7-L14),""),"")</f>
        <v/>
      </c>
      <c r="N14" s="85" t="n"/>
      <c r="O14" s="85" t="n"/>
      <c r="P14" s="118">
        <f>IF(AND(K14&gt;0,M14&gt;0,OR(N14&gt;0,O14&gt;0)),(M14/((N14*60)+O14))*60,"")</f>
        <v/>
      </c>
      <c r="Q14" s="122">
        <f>IFERROR(IF(OR(K14=1, K14=2),IF(K14=1,M14/$M$7,M14/$P$7),""),"")</f>
        <v/>
      </c>
      <c r="R14" s="85" t="n"/>
      <c r="S14" s="85" t="n"/>
      <c r="T14" s="86" t="n"/>
      <c r="U14" s="87">
        <f>IF(J14&lt;&gt;"",IF(J14="Full Refresher","Low Emerging Reader",IF(AND(K14&gt;0,Q14&lt;&gt;""),IF(OR(Q14&lt;=25%,AND(Q14&gt;25%,Q14&lt;=50%, R14=0)),"High Emerging Reader",IF(OR(AND(Q14&gt;25%,Q14&lt;51%, R14&gt;=1),AND(Q14&gt;50%,Q14&lt;76%,R14&lt;=2)),"Developing Reader",IF(OR(AND(Q14&gt;=51%, Q14&lt;76%,R14&gt;=3),AND(Q14&gt;75%,R14&lt;=4)),"Transitioning Reader",IF(AND(Q14&gt;75%,R14&gt;=5),"Reading At Grade Level","")))),"")),"")</f>
        <v/>
      </c>
      <c r="V14" s="88" t="n"/>
      <c r="Y14" s="221">
        <f>IF(C14&lt;&gt;"",R14/6,"")</f>
        <v/>
      </c>
    </row>
    <row r="15">
      <c r="A15" s="5" t="n">
        <v>5</v>
      </c>
      <c r="B15" s="93" t="n">
        <v>123456789016</v>
      </c>
      <c r="C15" s="89" t="inlineStr">
        <is>
          <t>Usof Matapang</t>
        </is>
      </c>
      <c r="D15" s="90" t="inlineStr">
        <is>
          <t>Male</t>
        </is>
      </c>
      <c r="E15" s="91" t="n">
        <v>45835</v>
      </c>
      <c r="F15" s="92" t="n">
        <v>5</v>
      </c>
      <c r="G15" s="67" t="n">
        <v>5</v>
      </c>
      <c r="H15" s="93" t="n">
        <v>10</v>
      </c>
      <c r="I15" s="81">
        <f>IF(AND(F15="",G15=""),"",IF(F15&lt;7,F15+G15,F15+10+H15))</f>
        <v/>
      </c>
      <c r="J15" s="82">
        <f>IF(I15="","",IF(F15&lt;7,IF(I15&lt;=10,"Full Refresher","Moderate Refresher"),IF(I15&lt;27,"Light Refresher","Grade Ready")))</f>
        <v/>
      </c>
      <c r="K15" s="94" t="n"/>
      <c r="L15" s="95" t="n"/>
      <c r="M15" s="118">
        <f>IF($C$9&lt;&gt;"",IF(OR(K15=1, K15=2),IF(K15=1,M$7-L15,$P$7-L15),""),"")</f>
        <v/>
      </c>
      <c r="N15" s="93" t="n"/>
      <c r="O15" s="93" t="n"/>
      <c r="P15" s="118">
        <f>IF(AND(K15&gt;0,M15&gt;0,OR(N15&gt;0,O15&gt;0)),(M15/((N15*60)+O15))*60,"")</f>
        <v/>
      </c>
      <c r="Q15" s="122">
        <f>IFERROR(IF(OR(K15=1, K15=2),IF(K15=1,M15/$M$7,M15/$P$7),""),"")</f>
        <v/>
      </c>
      <c r="R15" s="93" t="n"/>
      <c r="S15" s="93" t="n"/>
      <c r="T15" s="96" t="n"/>
      <c r="U15" s="87">
        <f>IF(J15&lt;&gt;"",IF(J15="Full Refresher","Low Emerging Reader",IF(AND(K15&gt;0,Q15&lt;&gt;""),IF(OR(Q15&lt;=25%,AND(Q15&gt;25%,Q15&lt;=50%, R15=0)),"High Emerging Reader",IF(OR(AND(Q15&gt;25%,Q15&lt;51%, R15&gt;=1),AND(Q15&gt;50%,Q15&lt;76%,R15&lt;=2)),"Developing Reader",IF(OR(AND(Q15&gt;=51%, Q15&lt;76%,R15&gt;=3),AND(Q15&gt;75%,R15&lt;=4)),"Transitioning Reader",IF(AND(Q15&gt;75%,R15&gt;=5),"Reading At Grade Level","")))),"")),"")</f>
        <v/>
      </c>
      <c r="V15" s="97" t="n"/>
      <c r="Y15" s="221">
        <f>IF(C15&lt;&gt;"",R15/6,"")</f>
        <v/>
      </c>
    </row>
    <row r="16">
      <c r="A16" s="4" t="n">
        <v>6</v>
      </c>
      <c r="B16" s="85" t="n">
        <v>123456789017</v>
      </c>
      <c r="C16" s="76" t="inlineStr">
        <is>
          <t>Chopper Sama</t>
        </is>
      </c>
      <c r="D16" s="77" t="inlineStr">
        <is>
          <t>Male</t>
        </is>
      </c>
      <c r="E16" s="78" t="n">
        <v>45833</v>
      </c>
      <c r="F16" s="79" t="n">
        <v>10</v>
      </c>
      <c r="G16" s="80" t="n"/>
      <c r="H16" s="85" t="n">
        <v>10</v>
      </c>
      <c r="I16" s="81">
        <f>IF(AND(F16="",G16=""),"",IF(F16&lt;7,F16+G16,F16+10+H16))</f>
        <v/>
      </c>
      <c r="J16" s="82">
        <f>IF(I16="","",IF(F16&lt;7,IF(I16&lt;=10,"Full Refresher","Moderate Refresher"),IF(I16&lt;27,"Light Refresher","Grade Ready")))</f>
        <v/>
      </c>
      <c r="K16" s="83" t="n">
        <v>2</v>
      </c>
      <c r="L16" s="84" t="n">
        <v>0</v>
      </c>
      <c r="M16" s="118">
        <f>IF($C$9&lt;&gt;"",IF(OR(K16=1, K16=2),IF(K16=1,M$7-L16,$P$7-L16),""),"")</f>
        <v/>
      </c>
      <c r="N16" s="85" t="n">
        <v>2</v>
      </c>
      <c r="O16" s="85" t="n">
        <v>0</v>
      </c>
      <c r="P16" s="118">
        <f>IF(AND(K16&gt;0,M16&gt;0,OR(N16&gt;0,O16&gt;0)),(M16/((N16*60)+O16))*60,"")</f>
        <v/>
      </c>
      <c r="Q16" s="122">
        <f>IFERROR(IF(OR(K16=1, K16=2),IF(K16=1,M16/$M$7,M16/$P$7),""),"")</f>
        <v/>
      </c>
      <c r="R16" s="85" t="n">
        <v>1</v>
      </c>
      <c r="S16" s="85" t="n">
        <v>3</v>
      </c>
      <c r="T16" s="86" t="inlineStr">
        <is>
          <t>Level 3</t>
        </is>
      </c>
      <c r="U16" s="87">
        <f>IF(J16&lt;&gt;"",IF(J16="Full Refresher","Low Emerging Reader",IF(AND(K16&gt;0,Q16&lt;&gt;""),IF(OR(Q16&lt;=25%,AND(Q16&gt;25%,Q16&lt;=50%, R16=0)),"High Emerging Reader",IF(OR(AND(Q16&gt;25%,Q16&lt;51%, R16&gt;=1),AND(Q16&gt;50%,Q16&lt;76%,R16&lt;=2)),"Developing Reader",IF(OR(AND(Q16&gt;=51%, Q16&lt;76%,R16&gt;=3),AND(Q16&gt;75%,R16&lt;=4)),"Transitioning Reader",IF(AND(Q16&gt;75%,R16&gt;=5),"Reading At Grade Level","")))),"")),"")</f>
        <v/>
      </c>
      <c r="V16" s="88" t="n"/>
      <c r="Y16" s="221">
        <f>IF(C16&lt;&gt;"",R16/6,"")</f>
        <v/>
      </c>
    </row>
    <row r="17">
      <c r="A17" s="5" t="n">
        <v>7</v>
      </c>
      <c r="B17" s="93" t="n">
        <v>123456789018</v>
      </c>
      <c r="C17" s="89" t="inlineStr">
        <is>
          <t>Justin Barber</t>
        </is>
      </c>
      <c r="D17" s="90" t="inlineStr">
        <is>
          <t>Male</t>
        </is>
      </c>
      <c r="E17" s="91" t="n">
        <v>45834</v>
      </c>
      <c r="F17" s="92" t="n">
        <v>0</v>
      </c>
      <c r="G17" s="67" t="n">
        <v>0</v>
      </c>
      <c r="H17" s="93" t="n"/>
      <c r="I17" s="81">
        <f>IF(AND(F17="",G17=""),"",IF(F17&lt;7,F17+G17,F17+10+H17))</f>
        <v/>
      </c>
      <c r="J17" s="82">
        <f>IF(I17="","",IF(F17&lt;7,IF(I17&lt;=10,"Full Refresher","Moderate Refresher"),IF(I17&lt;27,"Light Refresher","Grade Ready")))</f>
        <v/>
      </c>
      <c r="K17" s="94" t="n"/>
      <c r="L17" s="95" t="n"/>
      <c r="M17" s="118">
        <f>IF($C$9&lt;&gt;"",IF(OR(K17=1, K17=2),IF(K17=1,M$7-L17,$P$7-L17),""),"")</f>
        <v/>
      </c>
      <c r="N17" s="93" t="n"/>
      <c r="O17" s="93" t="n"/>
      <c r="P17" s="118">
        <f>IF(AND(K17&gt;0,M17&gt;0,OR(N17&gt;0,O17&gt;0)),(M17/((N17*60)+O17))*60,"")</f>
        <v/>
      </c>
      <c r="Q17" s="122">
        <f>IFERROR(IF(OR(K17=1, K17=2),IF(K17=1,M17/$M$7,M17/$P$7),""),"")</f>
        <v/>
      </c>
      <c r="R17" s="93" t="n"/>
      <c r="S17" s="93" t="n"/>
      <c r="T17" s="96" t="n"/>
      <c r="U17" s="87">
        <f>IF(J17&lt;&gt;"",IF(J17="Full Refresher","Low Emerging Reader",IF(AND(K17&gt;0,Q17&lt;&gt;""),IF(OR(Q17&lt;=25%,AND(Q17&gt;25%,Q17&lt;=50%, R17=0)),"High Emerging Reader",IF(OR(AND(Q17&gt;25%,Q17&lt;51%, R17&gt;=1),AND(Q17&gt;50%,Q17&lt;76%,R17&lt;=2)),"Developing Reader",IF(OR(AND(Q17&gt;=51%, Q17&lt;76%,R17&gt;=3),AND(Q17&gt;75%,R17&lt;=4)),"Transitioning Reader",IF(AND(Q17&gt;75%,R17&gt;=5),"Reading At Grade Level","")))),"")),"")</f>
        <v/>
      </c>
      <c r="V17" s="97" t="n"/>
      <c r="Y17" s="221">
        <f>IF(C17&lt;&gt;"",R17/6,"")</f>
        <v/>
      </c>
    </row>
    <row r="18">
      <c r="A18" s="4" t="n">
        <v>8</v>
      </c>
      <c r="B18" s="85" t="n">
        <v>123456789019</v>
      </c>
      <c r="C18" s="76" t="inlineStr">
        <is>
          <t>Alex Lopez</t>
        </is>
      </c>
      <c r="D18" s="77" t="inlineStr">
        <is>
          <t>Male</t>
        </is>
      </c>
      <c r="E18" s="78" t="n">
        <v>45834</v>
      </c>
      <c r="F18" s="79" t="n">
        <v>9</v>
      </c>
      <c r="G18" s="80" t="n"/>
      <c r="H18" s="85" t="n">
        <v>9</v>
      </c>
      <c r="I18" s="81">
        <f>IF(AND(F18="",G18=""),"",IF(F18&lt;7,F18+G18,F18+10+H18))</f>
        <v/>
      </c>
      <c r="J18" s="82">
        <f>IF(I18="","",IF(F18&lt;7,IF(I18&lt;=10,"Full Refresher","Moderate Refresher"),IF(I18&lt;27,"Light Refresher","Grade Ready")))</f>
        <v/>
      </c>
      <c r="K18" s="83" t="n">
        <v>2</v>
      </c>
      <c r="L18" s="84" t="n">
        <v>4</v>
      </c>
      <c r="M18" s="118">
        <f>IF($C$9&lt;&gt;"",IF(OR(K18=1, K18=2),IF(K18=1,M$7-L18,$P$7-L18),""),"")</f>
        <v/>
      </c>
      <c r="N18" s="85" t="n">
        <v>2</v>
      </c>
      <c r="O18" s="85" t="n">
        <v>0</v>
      </c>
      <c r="P18" s="118">
        <f>IF(AND(K18&gt;0,M18&gt;0,OR(N18&gt;0,O18&gt;0)),(M18/((N18*60)+O18))*60,"")</f>
        <v/>
      </c>
      <c r="Q18" s="122">
        <f>IFERROR(IF(OR(K18=1, K18=2),IF(K18=1,M18/$M$7,M18/$P$7),""),"")</f>
        <v/>
      </c>
      <c r="R18" s="85" t="n">
        <v>1</v>
      </c>
      <c r="S18" s="85" t="n">
        <v>3</v>
      </c>
      <c r="T18" s="86" t="inlineStr">
        <is>
          <t>Level 2</t>
        </is>
      </c>
      <c r="U18" s="87">
        <f>IF(J18&lt;&gt;"",IF(J18="Full Refresher","Low Emerging Reader",IF(AND(K18&gt;0,Q18&lt;&gt;""),IF(OR(Q18&lt;=25%,AND(Q18&gt;25%,Q18&lt;=50%, R18=0)),"High Emerging Reader",IF(OR(AND(Q18&gt;25%,Q18&lt;51%, R18&gt;=1),AND(Q18&gt;50%,Q18&lt;76%,R18&lt;=2)),"Developing Reader",IF(OR(AND(Q18&gt;=51%, Q18&lt;76%,R18&gt;=3),AND(Q18&gt;75%,R18&lt;=4)),"Transitioning Reader",IF(AND(Q18&gt;75%,R18&gt;=5),"Reading At Grade Level","")))),"")),"")</f>
        <v/>
      </c>
      <c r="V18" s="88" t="n"/>
      <c r="Y18" s="221">
        <f>IF(C18&lt;&gt;"",R18/6,"")</f>
        <v/>
      </c>
    </row>
    <row r="19">
      <c r="A19" s="5" t="n">
        <v>9</v>
      </c>
      <c r="B19" s="93" t="n">
        <v>123456789020</v>
      </c>
      <c r="C19" s="89" t="inlineStr">
        <is>
          <t>Ethan Reyes</t>
        </is>
      </c>
      <c r="D19" s="90" t="inlineStr">
        <is>
          <t>Male</t>
        </is>
      </c>
      <c r="E19" s="91" t="n">
        <v>45835</v>
      </c>
      <c r="F19" s="92" t="n">
        <v>8</v>
      </c>
      <c r="G19" s="67" t="n"/>
      <c r="H19" s="93" t="n">
        <v>9</v>
      </c>
      <c r="I19" s="81">
        <f>IF(AND(F19="",G19=""),"",IF(F19&lt;7,F19+G19,F19+10+H19))</f>
        <v/>
      </c>
      <c r="J19" s="82">
        <f>IF(I19="","",IF(F19&lt;7,IF(I19&lt;=10,"Full Refresher","Moderate Refresher"),IF(I19&lt;27,"Light Refresher","Grade Ready")))</f>
        <v/>
      </c>
      <c r="K19" s="94" t="n">
        <v>2</v>
      </c>
      <c r="L19" s="95" t="n">
        <v>6</v>
      </c>
      <c r="M19" s="118">
        <f>IF($C$9&lt;&gt;"",IF(OR(K19=1, K19=2),IF(K19=1,M$7-L19,$P$7-L19),""),"")</f>
        <v/>
      </c>
      <c r="N19" s="93" t="n">
        <v>2</v>
      </c>
      <c r="O19" s="93" t="n">
        <v>0</v>
      </c>
      <c r="P19" s="118">
        <f>IF(AND(K19&gt;0,M19&gt;0,OR(N19&gt;0,O19&gt;0)),(M19/((N19*60)+O19))*60,"")</f>
        <v/>
      </c>
      <c r="Q19" s="122">
        <f>IFERROR(IF(OR(K19=1, K19=2),IF(K19=1,M19/$M$7,M19/$P$7),""),"")</f>
        <v/>
      </c>
      <c r="R19" s="93" t="n">
        <v>0</v>
      </c>
      <c r="S19" s="93" t="n">
        <v>2</v>
      </c>
      <c r="T19" s="96" t="inlineStr">
        <is>
          <t>Level 2</t>
        </is>
      </c>
      <c r="U19" s="87">
        <f>IF(J19&lt;&gt;"",IF(J19="Full Refresher","Low Emerging Reader",IF(AND(K19&gt;0,Q19&lt;&gt;""),IF(OR(Q19&lt;=25%,AND(Q19&gt;25%,Q19&lt;=50%, R19=0)),"High Emerging Reader",IF(OR(AND(Q19&gt;25%,Q19&lt;51%, R19&gt;=1),AND(Q19&gt;50%,Q19&lt;76%,R19&lt;=2)),"Developing Reader",IF(OR(AND(Q19&gt;=51%, Q19&lt;76%,R19&gt;=3),AND(Q19&gt;75%,R19&lt;=4)),"Transitioning Reader",IF(AND(Q19&gt;75%,R19&gt;=5),"Reading At Grade Level","")))),"")),"")</f>
        <v/>
      </c>
      <c r="V19" s="97" t="n"/>
      <c r="Y19" s="221">
        <f>IF(C19&lt;&gt;"",R19/6,"")</f>
        <v/>
      </c>
    </row>
    <row r="20">
      <c r="A20" s="4" t="n">
        <v>10</v>
      </c>
      <c r="B20" s="85" t="n">
        <v>123456789021</v>
      </c>
      <c r="C20" s="76" t="inlineStr">
        <is>
          <t>Caleb Santos</t>
        </is>
      </c>
      <c r="D20" s="77" t="inlineStr">
        <is>
          <t>Male</t>
        </is>
      </c>
      <c r="E20" s="78" t="n">
        <v>45834</v>
      </c>
      <c r="F20" s="79" t="n">
        <v>10</v>
      </c>
      <c r="G20" s="80" t="n"/>
      <c r="H20" s="85" t="n">
        <v>10</v>
      </c>
      <c r="I20" s="81">
        <f>IF(AND(F20="",G20=""),"",IF(F20&lt;7,F20+G20,F20+10+H20))</f>
        <v/>
      </c>
      <c r="J20" s="82">
        <f>IF(I20="","",IF(F20&lt;7,IF(I20&lt;=10,"Full Refresher","Moderate Refresher"),IF(I20&lt;27,"Light Refresher","Grade Ready")))</f>
        <v/>
      </c>
      <c r="K20" s="83" t="n">
        <v>2</v>
      </c>
      <c r="L20" s="84" t="n">
        <v>0</v>
      </c>
      <c r="M20" s="118">
        <f>IF($C$9&lt;&gt;"",IF(OR(K20=1, K20=2),IF(K20=1,M$7-L20,$P$7-L20),""),"")</f>
        <v/>
      </c>
      <c r="N20" s="85" t="n">
        <v>2</v>
      </c>
      <c r="O20" s="85" t="n">
        <v>0</v>
      </c>
      <c r="P20" s="118">
        <f>IF(AND(K20&gt;0,M20&gt;0,OR(N20&gt;0,O20&gt;0)),(M20/((N20*60)+O20))*60,"")</f>
        <v/>
      </c>
      <c r="Q20" s="122">
        <f>IFERROR(IF(OR(K20=1, K20=2),IF(K20=1,M20/$M$7,M20/$P$7),""),"")</f>
        <v/>
      </c>
      <c r="R20" s="85" t="n">
        <v>2</v>
      </c>
      <c r="S20" s="85" t="n">
        <v>3</v>
      </c>
      <c r="T20" s="86" t="inlineStr">
        <is>
          <t>Level 3</t>
        </is>
      </c>
      <c r="U20" s="87">
        <f>IF(J20&lt;&gt;"",IF(J20="Full Refresher","Low Emerging Reader",IF(AND(K20&gt;0,Q20&lt;&gt;""),IF(OR(Q20&lt;=25%,AND(Q20&gt;25%,Q20&lt;=50%, R20=0)),"High Emerging Reader",IF(OR(AND(Q20&gt;25%,Q20&lt;51%, R20&gt;=1),AND(Q20&gt;50%,Q20&lt;76%,R20&lt;=2)),"Developing Reader",IF(OR(AND(Q20&gt;=51%, Q20&lt;76%,R20&gt;=3),AND(Q20&gt;75%,R20&lt;=4)),"Transitioning Reader",IF(AND(Q20&gt;75%,R20&gt;=5),"Reading At Grade Level","")))),"")),"")</f>
        <v/>
      </c>
      <c r="V20" s="88" t="n"/>
      <c r="Y20" s="221">
        <f>IF(C20&lt;&gt;"",R20/6,"")</f>
        <v/>
      </c>
    </row>
    <row r="21">
      <c r="A21" s="5" t="n">
        <v>11</v>
      </c>
      <c r="B21" s="93" t="n">
        <v>123456789022</v>
      </c>
      <c r="C21" s="89" t="inlineStr">
        <is>
          <t>Noah Villanueva</t>
        </is>
      </c>
      <c r="D21" s="90" t="inlineStr">
        <is>
          <t>Male</t>
        </is>
      </c>
      <c r="E21" s="91" t="n">
        <v>45835</v>
      </c>
      <c r="F21" s="92" t="n">
        <v>0</v>
      </c>
      <c r="G21" s="67" t="n">
        <v>0</v>
      </c>
      <c r="H21" s="93" t="n">
        <v>10</v>
      </c>
      <c r="I21" s="81">
        <f>IF(AND(F21="",G21=""),"",IF(F21&lt;7,F21+G21,F21+10+H21))</f>
        <v/>
      </c>
      <c r="J21" s="82">
        <f>IF(I21="","",IF(F21&lt;7,IF(I21&lt;=10,"Full Refresher","Moderate Refresher"),IF(I21&lt;27,"Light Refresher","Grade Ready")))</f>
        <v/>
      </c>
      <c r="K21" s="94" t="n"/>
      <c r="L21" s="95" t="n"/>
      <c r="M21" s="118">
        <f>IF($C$9&lt;&gt;"",IF(OR(K21=1, K21=2),IF(K21=1,M$7-L21,$P$7-L21),""),"")</f>
        <v/>
      </c>
      <c r="N21" s="93" t="n"/>
      <c r="O21" s="93" t="n"/>
      <c r="P21" s="118">
        <f>IF(AND(K21&gt;0,M21&gt;0,OR(N21&gt;0,O21&gt;0)),(M21/((N21*60)+O21))*60,"")</f>
        <v/>
      </c>
      <c r="Q21" s="122">
        <f>IFERROR(IF(OR(K21=1, K21=2),IF(K21=1,M21/$M$7,M21/$P$7),""),"")</f>
        <v/>
      </c>
      <c r="R21" s="93" t="n"/>
      <c r="S21" s="93" t="n"/>
      <c r="T21" s="96" t="n"/>
      <c r="U21" s="87">
        <f>IF(J21&lt;&gt;"",IF(J21="Full Refresher","Low Emerging Reader",IF(AND(K21&gt;0,Q21&lt;&gt;""),IF(OR(Q21&lt;=25%,AND(Q21&gt;25%,Q21&lt;=50%, R21=0)),"High Emerging Reader",IF(OR(AND(Q21&gt;25%,Q21&lt;51%, R21&gt;=1),AND(Q21&gt;50%,Q21&lt;76%,R21&lt;=2)),"Developing Reader",IF(OR(AND(Q21&gt;=51%, Q21&lt;76%,R21&gt;=3),AND(Q21&gt;75%,R21&lt;=4)),"Transitioning Reader",IF(AND(Q21&gt;75%,R21&gt;=5),"Reading At Grade Level","")))),"")),"")</f>
        <v/>
      </c>
      <c r="V21" s="97" t="n"/>
      <c r="Y21" s="221">
        <f>IF(C21&lt;&gt;"",R21/6,"")</f>
        <v/>
      </c>
    </row>
    <row r="22">
      <c r="A22" s="4" t="n">
        <v>12</v>
      </c>
      <c r="B22" s="85" t="n">
        <v>123456789023</v>
      </c>
      <c r="C22" s="76" t="inlineStr">
        <is>
          <t>Daniel Navarro</t>
        </is>
      </c>
      <c r="D22" s="77" t="inlineStr">
        <is>
          <t>Male</t>
        </is>
      </c>
      <c r="E22" s="78" t="n">
        <v>45835</v>
      </c>
      <c r="F22" s="79" t="n">
        <v>0</v>
      </c>
      <c r="G22" s="80" t="n">
        <v>0</v>
      </c>
      <c r="H22" s="85" t="n">
        <v>10</v>
      </c>
      <c r="I22" s="81">
        <f>IF(AND(F22="",G22=""),"",IF(F22&lt;7,F22+G22,F22+10+H22))</f>
        <v/>
      </c>
      <c r="J22" s="82">
        <f>IF(I22="","",IF(F22&lt;7,IF(I22&lt;=10,"Full Refresher","Moderate Refresher"),IF(I22&lt;27,"Light Refresher","Grade Ready")))</f>
        <v/>
      </c>
      <c r="K22" s="83" t="n"/>
      <c r="L22" s="84" t="n"/>
      <c r="M22" s="118">
        <f>IF($C$9&lt;&gt;"",IF(OR(K22=1, K22=2),IF(K22=1,M$7-L22,$P$7-L22),""),"")</f>
        <v/>
      </c>
      <c r="N22" s="85" t="n"/>
      <c r="O22" s="85" t="n"/>
      <c r="P22" s="118">
        <f>IF(AND(K22&gt;0,M22&gt;0,OR(N22&gt;0,O22&gt;0)),(M22/((N22*60)+O22))*60,"")</f>
        <v/>
      </c>
      <c r="Q22" s="122">
        <f>IFERROR(IF(OR(K22=1, K22=2),IF(K22=1,M22/$M$7,M22/$P$7),""),"")</f>
        <v/>
      </c>
      <c r="R22" s="85" t="n"/>
      <c r="S22" s="85" t="n"/>
      <c r="T22" s="86" t="n"/>
      <c r="U22" s="87">
        <f>IF(J22&lt;&gt;"",IF(J22="Full Refresher","Low Emerging Reader",IF(AND(K22&gt;0,Q22&lt;&gt;""),IF(OR(Q22&lt;=25%,AND(Q22&gt;25%,Q22&lt;=50%, R22=0)),"High Emerging Reader",IF(OR(AND(Q22&gt;25%,Q22&lt;51%, R22&gt;=1),AND(Q22&gt;50%,Q22&lt;76%,R22&lt;=2)),"Developing Reader",IF(OR(AND(Q22&gt;=51%, Q22&lt;76%,R22&gt;=3),AND(Q22&gt;75%,R22&lt;=4)),"Transitioning Reader",IF(AND(Q22&gt;75%,R22&gt;=5),"Reading At Grade Level","")))),"")),"")</f>
        <v/>
      </c>
      <c r="V22" s="88" t="n"/>
      <c r="Y22" s="221">
        <f>IF(C22&lt;&gt;"",R22/6,"")</f>
        <v/>
      </c>
    </row>
    <row r="23">
      <c r="A23" s="5" t="n">
        <v>13</v>
      </c>
      <c r="B23" s="93" t="n">
        <v>123456789024</v>
      </c>
      <c r="C23" s="89" t="inlineStr">
        <is>
          <t>Xavier Ramos</t>
        </is>
      </c>
      <c r="D23" s="90" t="inlineStr">
        <is>
          <t>Male</t>
        </is>
      </c>
      <c r="E23" s="91" t="n">
        <v>45833</v>
      </c>
      <c r="F23" s="92" t="n">
        <v>8</v>
      </c>
      <c r="G23" s="67" t="n"/>
      <c r="H23" s="93" t="n">
        <v>7</v>
      </c>
      <c r="I23" s="81">
        <f>IF(AND(F23="",G23=""),"",IF(F23&lt;7,F23+G23,F23+10+H23))</f>
        <v/>
      </c>
      <c r="J23" s="82">
        <f>IF(I23="","",IF(F23&lt;7,IF(I23&lt;=10,"Full Refresher","Moderate Refresher"),IF(I23&lt;27,"Light Refresher","Grade Ready")))</f>
        <v/>
      </c>
      <c r="K23" s="94" t="n">
        <v>2</v>
      </c>
      <c r="L23" s="95" t="n">
        <v>21</v>
      </c>
      <c r="M23" s="118">
        <f>IF($C$9&lt;&gt;"",IF(OR(K23=1, K23=2),IF(K23=1,M$7-L23,$P$7-L23),""),"")</f>
        <v/>
      </c>
      <c r="N23" s="93" t="n">
        <v>2</v>
      </c>
      <c r="O23" s="93" t="n">
        <v>0</v>
      </c>
      <c r="P23" s="118">
        <f>IF(AND(K23&gt;0,M23&gt;0,OR(N23&gt;0,O23&gt;0)),(M23/((N23*60)+O23))*60,"")</f>
        <v/>
      </c>
      <c r="Q23" s="122">
        <f>IFERROR(IF(OR(K23=1, K23=2),IF(K23=1,M23/$M$7,M23/$P$7),""),"")</f>
        <v/>
      </c>
      <c r="R23" s="93" t="n">
        <v>1</v>
      </c>
      <c r="S23" s="93" t="n">
        <v>2</v>
      </c>
      <c r="T23" s="96" t="inlineStr">
        <is>
          <t>Level 1</t>
        </is>
      </c>
      <c r="U23" s="87">
        <f>IF(J23&lt;&gt;"",IF(J23="Full Refresher","Low Emerging Reader",IF(AND(K23&gt;0,Q23&lt;&gt;""),IF(OR(Q23&lt;=25%,AND(Q23&gt;25%,Q23&lt;=50%, R23=0)),"High Emerging Reader",IF(OR(AND(Q23&gt;25%,Q23&lt;51%, R23&gt;=1),AND(Q23&gt;50%,Q23&lt;76%,R23&lt;=2)),"Developing Reader",IF(OR(AND(Q23&gt;=51%, Q23&lt;76%,R23&gt;=3),AND(Q23&gt;75%,R23&lt;=4)),"Transitioning Reader",IF(AND(Q23&gt;75%,R23&gt;=5),"Reading At Grade Level","")))),"")),"")</f>
        <v/>
      </c>
      <c r="V23" s="97" t="n"/>
      <c r="Y23" s="221">
        <f>IF(C23&lt;&gt;"",R23/6,"")</f>
        <v/>
      </c>
    </row>
    <row r="24">
      <c r="A24" s="4" t="n">
        <v>14</v>
      </c>
      <c r="B24" s="85" t="n">
        <v>123456789025</v>
      </c>
      <c r="C24" s="76" t="inlineStr">
        <is>
          <t>Sophia Garcia</t>
        </is>
      </c>
      <c r="D24" s="77" t="inlineStr">
        <is>
          <t>Female</t>
        </is>
      </c>
      <c r="E24" s="78" t="n">
        <v>45835</v>
      </c>
      <c r="F24" s="79" t="n">
        <v>0</v>
      </c>
      <c r="G24" s="80" t="n">
        <v>0</v>
      </c>
      <c r="H24" s="85" t="n">
        <v>10</v>
      </c>
      <c r="I24" s="81">
        <f>IF(AND(F24="",G24=""),"",IF(F24&lt;7,F24+G24,F24+10+H24))</f>
        <v/>
      </c>
      <c r="J24" s="82">
        <f>IF(I24="","",IF(F24&lt;7,IF(I24&lt;=10,"Full Refresher","Moderate Refresher"),IF(I24&lt;27,"Light Refresher","Grade Ready")))</f>
        <v/>
      </c>
      <c r="K24" s="83" t="n"/>
      <c r="L24" s="84" t="n"/>
      <c r="M24" s="118">
        <f>IF($C$9&lt;&gt;"",IF(OR(K24=1, K24=2),IF(K24=1,M$7-L24,$P$7-L24),""),"")</f>
        <v/>
      </c>
      <c r="N24" s="85" t="n"/>
      <c r="O24" s="85" t="n"/>
      <c r="P24" s="118">
        <f>IF(AND(K24&gt;0,M24&gt;0,OR(N24&gt;0,O24&gt;0)),(M24/((N24*60)+O24))*60,"")</f>
        <v/>
      </c>
      <c r="Q24" s="122">
        <f>IFERROR(IF(OR(K24=1, K24=2),IF(K24=1,M24/$M$7,M24/$P$7),""),"")</f>
        <v/>
      </c>
      <c r="R24" s="85" t="n"/>
      <c r="S24" s="85" t="n"/>
      <c r="T24" s="86" t="n"/>
      <c r="U24" s="87">
        <f>IF(J24&lt;&gt;"",IF(J24="Full Refresher","Low Emerging Reader",IF(AND(K24&gt;0,Q24&lt;&gt;""),IF(OR(Q24&lt;=25%,AND(Q24&gt;25%,Q24&lt;=50%, R24=0)),"High Emerging Reader",IF(OR(AND(Q24&gt;25%,Q24&lt;51%, R24&gt;=1),AND(Q24&gt;50%,Q24&lt;76%,R24&lt;=2)),"Developing Reader",IF(OR(AND(Q24&gt;=51%, Q24&lt;76%,R24&gt;=3),AND(Q24&gt;75%,R24&lt;=4)),"Transitioning Reader",IF(AND(Q24&gt;75%,R24&gt;=5),"Reading At Grade Level","")))),"")),"")</f>
        <v/>
      </c>
      <c r="V24" s="88" t="n"/>
      <c r="Y24" s="221">
        <f>IF(C24&lt;&gt;"",R24/6,"")</f>
        <v/>
      </c>
    </row>
    <row r="25">
      <c r="A25" s="5" t="n">
        <v>15</v>
      </c>
      <c r="B25" s="93" t="n">
        <v>123456789026</v>
      </c>
      <c r="C25" s="89" t="inlineStr">
        <is>
          <t>Isabella Torres</t>
        </is>
      </c>
      <c r="D25" s="90" t="inlineStr">
        <is>
          <t>Female</t>
        </is>
      </c>
      <c r="E25" s="91" t="n">
        <v>45833</v>
      </c>
      <c r="F25" s="92" t="n">
        <v>0</v>
      </c>
      <c r="G25" s="67" t="n">
        <v>0</v>
      </c>
      <c r="H25" s="93" t="n"/>
      <c r="I25" s="81">
        <f>IF(AND(F25="",G25=""),"",IF(F25&lt;7,F25+G25,F25+10+H25))</f>
        <v/>
      </c>
      <c r="J25" s="82">
        <f>IF(I25="","",IF(F25&lt;7,IF(I25&lt;=10,"Full Refresher","Moderate Refresher"),IF(I25&lt;27,"Light Refresher","Grade Ready")))</f>
        <v/>
      </c>
      <c r="K25" s="94" t="n"/>
      <c r="L25" s="95" t="n"/>
      <c r="M25" s="118">
        <f>IF($C$9&lt;&gt;"",IF(OR(K25=1, K25=2),IF(K25=1,M$7-L25,$P$7-L25),""),"")</f>
        <v/>
      </c>
      <c r="N25" s="93" t="n"/>
      <c r="O25" s="93" t="n"/>
      <c r="P25" s="118">
        <f>IF(AND(K25&gt;0,M25&gt;0,OR(N25&gt;0,O25&gt;0)),(M25/((N25*60)+O25))*60,"")</f>
        <v/>
      </c>
      <c r="Q25" s="122">
        <f>IFERROR(IF(OR(K25=1, K25=2),IF(K25=1,M25/$M$7,M25/$P$7),""),"")</f>
        <v/>
      </c>
      <c r="R25" s="93" t="n"/>
      <c r="S25" s="93" t="n"/>
      <c r="T25" s="96" t="n"/>
      <c r="U25" s="87">
        <f>IF(J25&lt;&gt;"",IF(J25="Full Refresher","Low Emerging Reader",IF(AND(K25&gt;0,Q25&lt;&gt;""),IF(OR(Q25&lt;=25%,AND(Q25&gt;25%,Q25&lt;=50%, R25=0)),"High Emerging Reader",IF(OR(AND(Q25&gt;25%,Q25&lt;51%, R25&gt;=1),AND(Q25&gt;50%,Q25&lt;76%,R25&lt;=2)),"Developing Reader",IF(OR(AND(Q25&gt;=51%, Q25&lt;76%,R25&gt;=3),AND(Q25&gt;75%,R25&lt;=4)),"Transitioning Reader",IF(AND(Q25&gt;75%,R25&gt;=5),"Reading At Grade Level","")))),"")),"")</f>
        <v/>
      </c>
      <c r="V25" s="97" t="n"/>
      <c r="Y25" s="221">
        <f>IF(C25&lt;&gt;"",R25/6,"")</f>
        <v/>
      </c>
    </row>
    <row r="26">
      <c r="A26" s="4" t="n">
        <v>16</v>
      </c>
      <c r="B26" s="85" t="n">
        <v>123456789027</v>
      </c>
      <c r="C26" s="76" t="inlineStr">
        <is>
          <t>Mia Fernandez</t>
        </is>
      </c>
      <c r="D26" s="77" t="inlineStr">
        <is>
          <t>Female</t>
        </is>
      </c>
      <c r="E26" s="78" t="n">
        <v>45834</v>
      </c>
      <c r="F26" s="79" t="n">
        <v>9</v>
      </c>
      <c r="G26" s="80" t="n"/>
      <c r="H26" s="85" t="n">
        <v>9</v>
      </c>
      <c r="I26" s="81">
        <f>IF(AND(F26="",G26=""),"",IF(F26&lt;7,F26+G26,F26+10+H26))</f>
        <v/>
      </c>
      <c r="J26" s="82">
        <f>IF(I26="","",IF(F26&lt;7,IF(I26&lt;=10,"Full Refresher","Moderate Refresher"),IF(I26&lt;27,"Light Refresher","Grade Ready")))</f>
        <v/>
      </c>
      <c r="K26" s="83" t="n">
        <v>2</v>
      </c>
      <c r="L26" s="84" t="n">
        <v>0</v>
      </c>
      <c r="M26" s="118">
        <f>IF($C$9&lt;&gt;"",IF(OR(K26=1, K26=2),IF(K26=1,M$7-L26,$P$7-L26),""),"")</f>
        <v/>
      </c>
      <c r="N26" s="85" t="n">
        <v>2</v>
      </c>
      <c r="O26" s="85" t="n">
        <v>0</v>
      </c>
      <c r="P26" s="118">
        <f>IF(AND(K26&gt;0,M26&gt;0,OR(N26&gt;0,O26&gt;0)),(M26/((N26*60)+O26))*60,"")</f>
        <v/>
      </c>
      <c r="Q26" s="122">
        <f>IFERROR(IF(OR(K26=1, K26=2),IF(K26=1,M26/$M$7,M26/$P$7),""),"")</f>
        <v/>
      </c>
      <c r="R26" s="85" t="n">
        <v>4</v>
      </c>
      <c r="S26" s="85" t="n">
        <v>3</v>
      </c>
      <c r="T26" s="86" t="inlineStr">
        <is>
          <t>Level 3</t>
        </is>
      </c>
      <c r="U26" s="87">
        <f>IF(J26&lt;&gt;"",IF(J26="Full Refresher","Low Emerging Reader",IF(AND(K26&gt;0,Q26&lt;&gt;""),IF(OR(Q26&lt;=25%,AND(Q26&gt;25%,Q26&lt;=50%, R26=0)),"High Emerging Reader",IF(OR(AND(Q26&gt;25%,Q26&lt;51%, R26&gt;=1),AND(Q26&gt;50%,Q26&lt;76%,R26&lt;=2)),"Developing Reader",IF(OR(AND(Q26&gt;=51%, Q26&lt;76%,R26&gt;=3),AND(Q26&gt;75%,R26&lt;=4)),"Transitioning Reader",IF(AND(Q26&gt;75%,R26&gt;=5),"Reading At Grade Level","")))),"")),"")</f>
        <v/>
      </c>
      <c r="V26" s="88" t="n"/>
      <c r="Y26" s="221">
        <f>IF(C26&lt;&gt;"",R26/6,"")</f>
        <v/>
      </c>
    </row>
    <row r="27">
      <c r="A27" s="5" t="n">
        <v>17</v>
      </c>
      <c r="B27" s="93" t="n">
        <v>123456789028</v>
      </c>
      <c r="C27" s="89" t="inlineStr">
        <is>
          <t>Olivia Rivera</t>
        </is>
      </c>
      <c r="D27" s="90" t="inlineStr">
        <is>
          <t>Female</t>
        </is>
      </c>
      <c r="E27" s="91" t="n">
        <v>45834</v>
      </c>
      <c r="F27" s="92" t="n">
        <v>0</v>
      </c>
      <c r="G27" s="67" t="n">
        <v>0</v>
      </c>
      <c r="H27" s="93" t="n">
        <v>10</v>
      </c>
      <c r="I27" s="81">
        <f>IF(AND(F27="",G27=""),"",IF(F27&lt;7,F27+G27,F27+10+H27))</f>
        <v/>
      </c>
      <c r="J27" s="82">
        <f>IF(I27="","",IF(F27&lt;7,IF(I27&lt;=10,"Full Refresher","Moderate Refresher"),IF(I27&lt;27,"Light Refresher","Grade Ready")))</f>
        <v/>
      </c>
      <c r="K27" s="94" t="n"/>
      <c r="L27" s="95" t="n"/>
      <c r="M27" s="118">
        <f>IF($C$9&lt;&gt;"",IF(OR(K27=1, K27=2),IF(K27=1,M$7-L27,$P$7-L27),""),"")</f>
        <v/>
      </c>
      <c r="N27" s="93" t="n"/>
      <c r="O27" s="93" t="n"/>
      <c r="P27" s="118">
        <f>IF(AND(K27&gt;0,M27&gt;0,OR(N27&gt;0,O27&gt;0)),(M27/((N27*60)+O27))*60,"")</f>
        <v/>
      </c>
      <c r="Q27" s="122">
        <f>IFERROR(IF(OR(K27=1, K27=2),IF(K27=1,M27/$M$7,M27/$P$7),""),"")</f>
        <v/>
      </c>
      <c r="R27" s="93" t="n"/>
      <c r="S27" s="93" t="n"/>
      <c r="T27" s="96" t="n"/>
      <c r="U27" s="87">
        <f>IF(J27&lt;&gt;"",IF(J27="Full Refresher","Low Emerging Reader",IF(AND(K27&gt;0,Q27&lt;&gt;""),IF(OR(Q27&lt;=25%,AND(Q27&gt;25%,Q27&lt;=50%, R27=0)),"High Emerging Reader",IF(OR(AND(Q27&gt;25%,Q27&lt;51%, R27&gt;=1),AND(Q27&gt;50%,Q27&lt;76%,R27&lt;=2)),"Developing Reader",IF(OR(AND(Q27&gt;=51%, Q27&lt;76%,R27&gt;=3),AND(Q27&gt;75%,R27&lt;=4)),"Transitioning Reader",IF(AND(Q27&gt;75%,R27&gt;=5),"Reading At Grade Level","")))),"")),"")</f>
        <v/>
      </c>
      <c r="V27" s="97" t="n"/>
      <c r="Y27" s="221">
        <f>IF(C27&lt;&gt;"",R27/6,"")</f>
        <v/>
      </c>
    </row>
    <row r="28">
      <c r="A28" s="4" t="n">
        <v>18</v>
      </c>
      <c r="B28" s="85" t="n">
        <v>123456789029</v>
      </c>
      <c r="C28" s="76" t="inlineStr">
        <is>
          <t>Chloe Morales</t>
        </is>
      </c>
      <c r="D28" s="77" t="inlineStr">
        <is>
          <t>Female</t>
        </is>
      </c>
      <c r="E28" s="78" t="n">
        <v>45834</v>
      </c>
      <c r="F28" s="79" t="n">
        <v>9</v>
      </c>
      <c r="G28" s="80" t="n"/>
      <c r="H28" s="85" t="n">
        <v>9</v>
      </c>
      <c r="I28" s="81">
        <f>IF(AND(F28="",G28=""),"",IF(F28&lt;7,F28+G28,F28+10+H28))</f>
        <v/>
      </c>
      <c r="J28" s="82">
        <f>IF(I28="","",IF(F28&lt;7,IF(I28&lt;=10,"Full Refresher","Moderate Refresher"),IF(I28&lt;27,"Light Refresher","Grade Ready")))</f>
        <v/>
      </c>
      <c r="K28" s="83" t="n">
        <v>2</v>
      </c>
      <c r="L28" s="84" t="n">
        <v>0</v>
      </c>
      <c r="M28" s="118">
        <f>IF($C$9&lt;&gt;"",IF(OR(K28=1, K28=2),IF(K28=1,M$7-L28,$P$7-L28),""),"")</f>
        <v/>
      </c>
      <c r="N28" s="85" t="n">
        <v>2</v>
      </c>
      <c r="O28" s="85" t="n">
        <v>0</v>
      </c>
      <c r="P28" s="118">
        <f>IF(AND(K28&gt;0,M28&gt;0,OR(N28&gt;0,O28&gt;0)),(M28/((N28*60)+O28))*60,"")</f>
        <v/>
      </c>
      <c r="Q28" s="122">
        <f>IFERROR(IF(OR(K28=1, K28=2),IF(K28=1,M28/$M$7,M28/$P$7),""),"")</f>
        <v/>
      </c>
      <c r="R28" s="85" t="n">
        <v>1</v>
      </c>
      <c r="S28" s="85" t="n">
        <v>3</v>
      </c>
      <c r="T28" s="86" t="inlineStr">
        <is>
          <t>Level 2</t>
        </is>
      </c>
      <c r="U28" s="87">
        <f>IF(J28&lt;&gt;"",IF(J28="Full Refresher","Low Emerging Reader",IF(AND(K28&gt;0,Q28&lt;&gt;""),IF(OR(Q28&lt;=25%,AND(Q28&gt;25%,Q28&lt;=50%, R28=0)),"High Emerging Reader",IF(OR(AND(Q28&gt;25%,Q28&lt;51%, R28&gt;=1),AND(Q28&gt;50%,Q28&lt;76%,R28&lt;=2)),"Developing Reader",IF(OR(AND(Q28&gt;=51%, Q28&lt;76%,R28&gt;=3),AND(Q28&gt;75%,R28&lt;=4)),"Transitioning Reader",IF(AND(Q28&gt;75%,R28&gt;=5),"Reading At Grade Level","")))),"")),"")</f>
        <v/>
      </c>
      <c r="V28" s="88" t="n"/>
      <c r="Y28" s="221">
        <f>IF(C28&lt;&gt;"",R28/6,"")</f>
        <v/>
      </c>
    </row>
    <row r="29">
      <c r="A29" s="5" t="n">
        <v>19</v>
      </c>
      <c r="B29" s="93" t="n">
        <v>123456789030</v>
      </c>
      <c r="C29" s="89" t="inlineStr">
        <is>
          <t>Gabriela Herrera</t>
        </is>
      </c>
      <c r="D29" s="90" t="inlineStr">
        <is>
          <t>Female</t>
        </is>
      </c>
      <c r="E29" s="91" t="n">
        <v>45833</v>
      </c>
      <c r="F29" s="92" t="n">
        <v>10</v>
      </c>
      <c r="G29" s="67" t="n"/>
      <c r="H29" s="93" t="n">
        <v>10</v>
      </c>
      <c r="I29" s="81">
        <f>IF(AND(F29="",G29=""),"",IF(F29&lt;7,F29+G29,F29+10+H29))</f>
        <v/>
      </c>
      <c r="J29" s="82">
        <f>IF(I29="","",IF(F29&lt;7,IF(I29&lt;=10,"Full Refresher","Moderate Refresher"),IF(I29&lt;27,"Light Refresher","Grade Ready")))</f>
        <v/>
      </c>
      <c r="K29" s="94" t="n">
        <v>2</v>
      </c>
      <c r="L29" s="95" t="n">
        <v>0</v>
      </c>
      <c r="M29" s="118">
        <f>IF($C$9&lt;&gt;"",IF(OR(K29=1, K29=2),IF(K29=1,M$7-L29,$P$7-L29),""),"")</f>
        <v/>
      </c>
      <c r="N29" s="93" t="n">
        <v>2</v>
      </c>
      <c r="O29" s="93" t="n">
        <v>0</v>
      </c>
      <c r="P29" s="118">
        <f>IF(AND(K29&gt;0,M29&gt;0,OR(N29&gt;0,O29&gt;0)),(M29/((N29*60)+O29))*60,"")</f>
        <v/>
      </c>
      <c r="Q29" s="122">
        <f>IFERROR(IF(OR(K29=1, K29=2),IF(K29=1,M29/$M$7,M29/$P$7),""),"")</f>
        <v/>
      </c>
      <c r="R29" s="93" t="n">
        <v>4</v>
      </c>
      <c r="S29" s="93" t="n">
        <v>3</v>
      </c>
      <c r="T29" s="96" t="inlineStr">
        <is>
          <t>Level 2</t>
        </is>
      </c>
      <c r="U29" s="87">
        <f>IF(J29&lt;&gt;"",IF(J29="Full Refresher","Low Emerging Reader",IF(AND(K29&gt;0,Q29&lt;&gt;""),IF(OR(Q29&lt;=25%,AND(Q29&gt;25%,Q29&lt;=50%, R29=0)),"High Emerging Reader",IF(OR(AND(Q29&gt;25%,Q29&lt;51%, R29&gt;=1),AND(Q29&gt;50%,Q29&lt;76%,R29&lt;=2)),"Developing Reader",IF(OR(AND(Q29&gt;=51%, Q29&lt;76%,R29&gt;=3),AND(Q29&gt;75%,R29&lt;=4)),"Transitioning Reader",IF(AND(Q29&gt;75%,R29&gt;=5),"Reading At Grade Level","")))),"")),"")</f>
        <v/>
      </c>
      <c r="V29" s="97" t="n"/>
      <c r="Y29" s="221">
        <f>IF(C29&lt;&gt;"",R29/6,"")</f>
        <v/>
      </c>
    </row>
    <row r="30">
      <c r="A30" s="4" t="n">
        <v>20</v>
      </c>
      <c r="B30" s="85" t="n">
        <v>123456789031</v>
      </c>
      <c r="C30" s="76" t="inlineStr">
        <is>
          <t>Hannah Gutierrez</t>
        </is>
      </c>
      <c r="D30" s="77" t="inlineStr">
        <is>
          <t>Female</t>
        </is>
      </c>
      <c r="E30" s="78" t="n">
        <v>45835</v>
      </c>
      <c r="F30" s="79" t="n">
        <v>10</v>
      </c>
      <c r="G30" s="80" t="n"/>
      <c r="H30" s="85" t="n">
        <v>10</v>
      </c>
      <c r="I30" s="81">
        <f>IF(AND(F30="",G30=""),"",IF(F30&lt;7,F30+G30,F30+10+H30))</f>
        <v/>
      </c>
      <c r="J30" s="82">
        <f>IF(I30="","",IF(F30&lt;7,IF(I30&lt;=10,"Full Refresher","Moderate Refresher"),IF(I30&lt;27,"Light Refresher","Grade Ready")))</f>
        <v/>
      </c>
      <c r="K30" s="83" t="n">
        <v>2</v>
      </c>
      <c r="L30" s="84" t="n">
        <v>0</v>
      </c>
      <c r="M30" s="118">
        <f>IF($C$9&lt;&gt;"",IF(OR(K30=1, K30=2),IF(K30=1,M$7-L30,$P$7-L30),""),"")</f>
        <v/>
      </c>
      <c r="N30" s="85" t="n">
        <v>2</v>
      </c>
      <c r="O30" s="85" t="n">
        <v>0</v>
      </c>
      <c r="P30" s="118">
        <f>IF(AND(K30&gt;0,M30&gt;0,OR(N30&gt;0,O30&gt;0)),(M30/((N30*60)+O30))*60,"")</f>
        <v/>
      </c>
      <c r="Q30" s="122">
        <f>IFERROR(IF(OR(K30=1, K30=2),IF(K30=1,M30/$M$7,M30/$P$7),""),"")</f>
        <v/>
      </c>
      <c r="R30" s="85" t="n">
        <v>2</v>
      </c>
      <c r="S30" s="85" t="n">
        <v>3</v>
      </c>
      <c r="T30" s="86" t="inlineStr">
        <is>
          <t>Level 3</t>
        </is>
      </c>
      <c r="U30" s="87">
        <f>IF(J30&lt;&gt;"",IF(J30="Full Refresher","Low Emerging Reader",IF(AND(K30&gt;0,Q30&lt;&gt;""),IF(OR(Q30&lt;=25%,AND(Q30&gt;25%,Q30&lt;=50%, R30=0)),"High Emerging Reader",IF(OR(AND(Q30&gt;25%,Q30&lt;51%, R30&gt;=1),AND(Q30&gt;50%,Q30&lt;76%,R30&lt;=2)),"Developing Reader",IF(OR(AND(Q30&gt;=51%, Q30&lt;76%,R30&gt;=3),AND(Q30&gt;75%,R30&lt;=4)),"Transitioning Reader",IF(AND(Q30&gt;75%,R30&gt;=5),"Reading At Grade Level","")))),"")),"")</f>
        <v/>
      </c>
      <c r="V30" s="88" t="n"/>
      <c r="Y30" s="221">
        <f>IF(C30&lt;&gt;"",R30/6,"")</f>
        <v/>
      </c>
    </row>
    <row r="31">
      <c r="A31" s="5" t="n">
        <v>21</v>
      </c>
      <c r="B31" s="93" t="n">
        <v>123456789032</v>
      </c>
      <c r="C31" s="89" t="inlineStr">
        <is>
          <t>Zoe Chavez</t>
        </is>
      </c>
      <c r="D31" s="90" t="inlineStr">
        <is>
          <t>Female</t>
        </is>
      </c>
      <c r="E31" s="91" t="n">
        <v>45835</v>
      </c>
      <c r="F31" s="92" t="n">
        <v>10</v>
      </c>
      <c r="G31" s="67" t="n"/>
      <c r="H31" s="93" t="n">
        <v>10</v>
      </c>
      <c r="I31" s="81">
        <f>IF(AND(F31="",G31=""),"",IF(F31&lt;7,F31+G31,F31+10+H31))</f>
        <v/>
      </c>
      <c r="J31" s="82">
        <f>IF(I31="","",IF(F31&lt;7,IF(I31&lt;=10,"Full Refresher","Moderate Refresher"),IF(I31&lt;27,"Light Refresher","Grade Ready")))</f>
        <v/>
      </c>
      <c r="K31" s="94" t="n">
        <v>2</v>
      </c>
      <c r="L31" s="95" t="n">
        <v>0</v>
      </c>
      <c r="M31" s="118">
        <f>IF($C$9&lt;&gt;"",IF(OR(K31=1, K31=2),IF(K31=1,M$7-L31,$P$7-L31),""),"")</f>
        <v/>
      </c>
      <c r="N31" s="93" t="n">
        <v>2</v>
      </c>
      <c r="O31" s="93" t="n">
        <v>0</v>
      </c>
      <c r="P31" s="118">
        <f>IF(AND(K31&gt;0,M31&gt;0,OR(N31&gt;0,O31&gt;0)),(M31/((N31*60)+O31))*60,"")</f>
        <v/>
      </c>
      <c r="Q31" s="122">
        <f>IFERROR(IF(OR(K31=1, K31=2),IF(K31=1,M31/$M$7,M31/$P$7),""),"")</f>
        <v/>
      </c>
      <c r="R31" s="93" t="n">
        <v>5</v>
      </c>
      <c r="S31" s="93" t="n">
        <v>4</v>
      </c>
      <c r="T31" s="96" t="inlineStr">
        <is>
          <t>Level 3</t>
        </is>
      </c>
      <c r="U31" s="87">
        <f>IF(J31&lt;&gt;"",IF(J31="Full Refresher","Low Emerging Reader",IF(AND(K31&gt;0,Q31&lt;&gt;""),IF(OR(Q31&lt;=25%,AND(Q31&gt;25%,Q31&lt;=50%, R31=0)),"High Emerging Reader",IF(OR(AND(Q31&gt;25%,Q31&lt;51%, R31&gt;=1),AND(Q31&gt;50%,Q31&lt;76%,R31&lt;=2)),"Developing Reader",IF(OR(AND(Q31&gt;=51%, Q31&lt;76%,R31&gt;=3),AND(Q31&gt;75%,R31&lt;=4)),"Transitioning Reader",IF(AND(Q31&gt;75%,R31&gt;=5),"Reading At Grade Level","")))),"")),"")</f>
        <v/>
      </c>
      <c r="V31" s="97" t="n"/>
      <c r="Y31" s="221">
        <f>IF(C31&lt;&gt;"",R31/6,"")</f>
        <v/>
      </c>
    </row>
    <row r="32">
      <c r="A32" s="4" t="n">
        <v>22</v>
      </c>
      <c r="B32" s="85" t="n">
        <v>123456789033</v>
      </c>
      <c r="C32" s="76" t="inlineStr">
        <is>
          <t>Eliana Salazar</t>
        </is>
      </c>
      <c r="D32" s="77" t="inlineStr">
        <is>
          <t>Female</t>
        </is>
      </c>
      <c r="E32" s="78" t="n">
        <v>45833</v>
      </c>
      <c r="F32" s="79" t="n">
        <v>0</v>
      </c>
      <c r="G32" s="80" t="n">
        <v>0</v>
      </c>
      <c r="H32" s="85" t="n">
        <v>10</v>
      </c>
      <c r="I32" s="81">
        <f>IF(AND(F32="",G32=""),"",IF(F32&lt;7,F32+G32,F32+10+H32))</f>
        <v/>
      </c>
      <c r="J32" s="82">
        <f>IF(I32="","",IF(F32&lt;7,IF(I32&lt;=10,"Full Refresher","Moderate Refresher"),IF(I32&lt;27,"Light Refresher","Grade Ready")))</f>
        <v/>
      </c>
      <c r="K32" s="83" t="n"/>
      <c r="L32" s="84" t="n"/>
      <c r="M32" s="118">
        <f>IF($C$9&lt;&gt;"",IF(OR(K32=1, K32=2),IF(K32=1,M$7-L32,$P$7-L32),""),"")</f>
        <v/>
      </c>
      <c r="N32" s="85" t="n"/>
      <c r="O32" s="85" t="n"/>
      <c r="P32" s="118">
        <f>IF(AND(K32&gt;0,M32&gt;0,OR(N32&gt;0,O32&gt;0)),(M32/((N32*60)+O32))*60,"")</f>
        <v/>
      </c>
      <c r="Q32" s="122">
        <f>IFERROR(IF(OR(K32=1, K32=2),IF(K32=1,M32/$M$7,M32/$P$7),""),"")</f>
        <v/>
      </c>
      <c r="R32" s="85" t="n"/>
      <c r="S32" s="85" t="n"/>
      <c r="T32" s="86" t="n"/>
      <c r="U32" s="87">
        <f>IF(J32&lt;&gt;"",IF(J32="Full Refresher","Low Emerging Reader",IF(AND(K32&gt;0,Q32&lt;&gt;""),IF(OR(Q32&lt;=25%,AND(Q32&gt;25%,Q32&lt;=50%, R32=0)),"High Emerging Reader",IF(OR(AND(Q32&gt;25%,Q32&lt;51%, R32&gt;=1),AND(Q32&gt;50%,Q32&lt;76%,R32&lt;=2)),"Developing Reader",IF(OR(AND(Q32&gt;=51%, Q32&lt;76%,R32&gt;=3),AND(Q32&gt;75%,R32&lt;=4)),"Transitioning Reader",IF(AND(Q32&gt;75%,R32&gt;=5),"Reading At Grade Level","")))),"")),"")</f>
        <v/>
      </c>
      <c r="V32" s="88" t="n"/>
      <c r="Y32" s="221">
        <f>IF(C32&lt;&gt;"",R32/6,"")</f>
        <v/>
      </c>
    </row>
    <row r="33">
      <c r="A33" s="5" t="n">
        <v>23</v>
      </c>
      <c r="B33" s="93" t="n">
        <v>123456789034</v>
      </c>
      <c r="C33" s="89" t="inlineStr">
        <is>
          <t>Camille Vargas</t>
        </is>
      </c>
      <c r="D33" s="90" t="inlineStr">
        <is>
          <t>Female</t>
        </is>
      </c>
      <c r="E33" s="91" t="n">
        <v>45833</v>
      </c>
      <c r="F33" s="92" t="n">
        <v>0</v>
      </c>
      <c r="G33" s="67" t="n">
        <v>0</v>
      </c>
      <c r="H33" s="93" t="n"/>
      <c r="I33" s="81">
        <f>IF(AND(F33="",G33=""),"",IF(F33&lt;7,F33+G33,F33+10+H33))</f>
        <v/>
      </c>
      <c r="J33" s="82">
        <f>IF(I33="","",IF(F33&lt;7,IF(I33&lt;=10,"Full Refresher","Moderate Refresher"),IF(I33&lt;27,"Light Refresher","Grade Ready")))</f>
        <v/>
      </c>
      <c r="K33" s="94" t="n"/>
      <c r="L33" s="95" t="n"/>
      <c r="M33" s="118">
        <f>IF($C$9&lt;&gt;"",IF(OR(K33=1, K33=2),IF(K33=1,M$7-L33,$P$7-L33),""),"")</f>
        <v/>
      </c>
      <c r="N33" s="93" t="n"/>
      <c r="O33" s="93" t="n"/>
      <c r="P33" s="118">
        <f>IF(AND(K33&gt;0,M33&gt;0,OR(N33&gt;0,O33&gt;0)),(M33/((N33*60)+O33))*60,"")</f>
        <v/>
      </c>
      <c r="Q33" s="122">
        <f>IFERROR(IF(OR(K33=1, K33=2),IF(K33=1,M33/$M$7,M33/$P$7),""),"")</f>
        <v/>
      </c>
      <c r="R33" s="93" t="n"/>
      <c r="S33" s="93" t="n"/>
      <c r="T33" s="96" t="n"/>
      <c r="U33" s="87">
        <f>IF(J33&lt;&gt;"",IF(J33="Full Refresher","Low Emerging Reader",IF(AND(K33&gt;0,Q33&lt;&gt;""),IF(OR(Q33&lt;=25%,AND(Q33&gt;25%,Q33&lt;=50%, R33=0)),"High Emerging Reader",IF(OR(AND(Q33&gt;25%,Q33&lt;51%, R33&gt;=1),AND(Q33&gt;50%,Q33&lt;76%,R33&lt;=2)),"Developing Reader",IF(OR(AND(Q33&gt;=51%, Q33&lt;76%,R33&gt;=3),AND(Q33&gt;75%,R33&lt;=4)),"Transitioning Reader",IF(AND(Q33&gt;75%,R33&gt;=5),"Reading At Grade Level","")))),"")),"")</f>
        <v/>
      </c>
      <c r="V33" s="97" t="n"/>
      <c r="Y33" s="221">
        <f>IF(C33&lt;&gt;"",R33/6,"")</f>
        <v/>
      </c>
    </row>
    <row r="34">
      <c r="A34" s="4" t="n">
        <v>24</v>
      </c>
      <c r="B34" s="85" t="n">
        <v>123456789035</v>
      </c>
      <c r="C34" s="76" t="inlineStr">
        <is>
          <t>Aria Lozano</t>
        </is>
      </c>
      <c r="D34" s="77" t="inlineStr">
        <is>
          <t>Female</t>
        </is>
      </c>
      <c r="E34" s="78" t="n">
        <v>45834</v>
      </c>
      <c r="F34" s="79" t="n">
        <v>10</v>
      </c>
      <c r="G34" s="80" t="n"/>
      <c r="H34" s="85" t="n">
        <v>10</v>
      </c>
      <c r="I34" s="81">
        <f>IF(AND(F34="",G34=""),"",IF(F34&lt;7,F34+G34,F34+10+H34))</f>
        <v/>
      </c>
      <c r="J34" s="82">
        <f>IF(I34="","",IF(F34&lt;7,IF(I34&lt;=10,"Full Refresher","Moderate Refresher"),IF(I34&lt;27,"Light Refresher","Grade Ready")))</f>
        <v/>
      </c>
      <c r="K34" s="83" t="n">
        <v>2</v>
      </c>
      <c r="L34" s="84" t="n">
        <v>0</v>
      </c>
      <c r="M34" s="118">
        <f>IF($C$9&lt;&gt;"",IF(OR(K34=1, K34=2),IF(K34=1,M$7-L34,$P$7-L34),""),"")</f>
        <v/>
      </c>
      <c r="N34" s="85" t="n">
        <v>1</v>
      </c>
      <c r="O34" s="85" t="n">
        <v>59</v>
      </c>
      <c r="P34" s="118">
        <f>IF(AND(K34&gt;0,M34&gt;0,OR(N34&gt;0,O34&gt;0)),(M34/((N34*60)+O34))*60,"")</f>
        <v/>
      </c>
      <c r="Q34" s="122">
        <f>IFERROR(IF(OR(K34=1, K34=2),IF(K34=1,M34/$M$7,M34/$P$7),""),"")</f>
        <v/>
      </c>
      <c r="R34" s="85" t="n">
        <v>4</v>
      </c>
      <c r="S34" s="85" t="n">
        <v>3</v>
      </c>
      <c r="T34" s="86" t="inlineStr">
        <is>
          <t>Level 3</t>
        </is>
      </c>
      <c r="U34" s="87">
        <f>IF(J34&lt;&gt;"",IF(J34="Full Refresher","Low Emerging Reader",IF(AND(K34&gt;0,Q34&lt;&gt;""),IF(OR(Q34&lt;=25%,AND(Q34&gt;25%,Q34&lt;=50%, R34=0)),"High Emerging Reader",IF(OR(AND(Q34&gt;25%,Q34&lt;51%, R34&gt;=1),AND(Q34&gt;50%,Q34&lt;76%,R34&lt;=2)),"Developing Reader",IF(OR(AND(Q34&gt;=51%, Q34&lt;76%,R34&gt;=3),AND(Q34&gt;75%,R34&lt;=4)),"Transitioning Reader",IF(AND(Q34&gt;75%,R34&gt;=5),"Reading At Grade Level","")))),"")),"")</f>
        <v/>
      </c>
      <c r="V34" s="88" t="n"/>
      <c r="Y34" s="221">
        <f>IF(C34&lt;&gt;"",R34/6,"")</f>
        <v/>
      </c>
    </row>
    <row r="35">
      <c r="A35" s="5" t="n">
        <v>25</v>
      </c>
      <c r="B35" s="93" t="n"/>
      <c r="C35" s="89" t="n"/>
      <c r="D35" s="90" t="n"/>
      <c r="E35" s="91" t="n"/>
      <c r="F35" s="92" t="n"/>
      <c r="G35" s="67" t="n"/>
      <c r="H35" s="93" t="n">
        <v>10</v>
      </c>
      <c r="I35" s="81">
        <f>IF(AND(F35="",G35=""),"",IF(F35&lt;7,F35+G35,F35+10+H35))</f>
        <v/>
      </c>
      <c r="J35" s="82">
        <f>IF(I35="","",IF(F35&lt;7,IF(I35&lt;=10,"Full Refresher","Moderate Refresher"),IF(I35&lt;27,"Light Refresher","Grade Ready")))</f>
        <v/>
      </c>
      <c r="K35" s="94" t="n"/>
      <c r="L35" s="95" t="n"/>
      <c r="M35" s="118">
        <f>IF($C$9&lt;&gt;"",IF(OR(K35=1, K35=2),IF(K35=1,M$7-L35,$P$7-L35),""),"")</f>
        <v/>
      </c>
      <c r="N35" s="93" t="n"/>
      <c r="O35" s="93" t="n"/>
      <c r="P35" s="118">
        <f>IF(AND(K35&gt;0,M35&gt;0,OR(N35&gt;0,O35&gt;0)),(M35/((N35*60)+O35))*60,"")</f>
        <v/>
      </c>
      <c r="Q35" s="122">
        <f>IFERROR(IF(OR(K35=1, K35=2),IF(K35=1,M35/$M$7,M35/$P$7),""),"")</f>
        <v/>
      </c>
      <c r="R35" s="93" t="n"/>
      <c r="S35" s="93" t="n"/>
      <c r="T35" s="96" t="n"/>
      <c r="U35" s="87">
        <f>IF(J35&lt;&gt;"",IF(J35="Full Refresher","Low Emerging Reader",IF(AND(K35&gt;0,Q35&lt;&gt;""),IF(OR(Q35&lt;=25%,AND(Q35&gt;25%,Q35&lt;=50%, R35=0)),"High Emerging Reader",IF(OR(AND(Q35&gt;25%,Q35&lt;51%, R35&gt;=1),AND(Q35&gt;50%,Q35&lt;76%,R35&lt;=2)),"Developing Reader",IF(OR(AND(Q35&gt;=51%, Q35&lt;76%,R35&gt;=3),AND(Q35&gt;75%,R35&lt;=4)),"Transitioning Reader",IF(AND(Q35&gt;75%,R35&gt;=5),"Reading At Grade Level","")))),"")),"")</f>
        <v/>
      </c>
      <c r="V35" s="97" t="n"/>
      <c r="Y35" s="221">
        <f>IF(C35&lt;&gt;"",R35/6,"")</f>
        <v/>
      </c>
    </row>
    <row r="36">
      <c r="A36" s="4" t="n">
        <v>26</v>
      </c>
      <c r="B36" s="85" t="n"/>
      <c r="C36" s="76" t="n"/>
      <c r="D36" s="77" t="n"/>
      <c r="E36" s="78" t="n"/>
      <c r="F36" s="79" t="n"/>
      <c r="G36" s="80" t="n"/>
      <c r="H36" s="85" t="n">
        <v>9</v>
      </c>
      <c r="I36" s="81">
        <f>IF(AND(F36="",G36=""),"",IF(F36&lt;7,F36+G36,F36+10+H36))</f>
        <v/>
      </c>
      <c r="J36" s="82">
        <f>IF(I36="","",IF(F36&lt;7,IF(I36&lt;=10,"Full Refresher","Moderate Refresher"),IF(I36&lt;27,"Light Refresher","Grade Ready")))</f>
        <v/>
      </c>
      <c r="K36" s="83" t="n"/>
      <c r="L36" s="84" t="n"/>
      <c r="M36" s="118">
        <f>IF($C$9&lt;&gt;"",IF(OR(K36=1, K36=2),IF(K36=1,M$7-L36,$P$7-L36),""),"")</f>
        <v/>
      </c>
      <c r="N36" s="85" t="n"/>
      <c r="O36" s="85" t="n"/>
      <c r="P36" s="118">
        <f>IF(AND(K36&gt;0,M36&gt;0,OR(N36&gt;0,O36&gt;0)),(M36/((N36*60)+O36))*60,"")</f>
        <v/>
      </c>
      <c r="Q36" s="122">
        <f>IFERROR(IF(OR(K36=1, K36=2),IF(K36=1,M36/$M$7,M36/$P$7),""),"")</f>
        <v/>
      </c>
      <c r="R36" s="85" t="n"/>
      <c r="S36" s="85" t="n"/>
      <c r="T36" s="86" t="n"/>
      <c r="U36" s="87">
        <f>IF(J36&lt;&gt;"",IF(J36="Full Refresher","Low Emerging Reader",IF(AND(K36&gt;0,Q36&lt;&gt;""),IF(OR(Q36&lt;=25%,AND(Q36&gt;25%,Q36&lt;=50%, R36=0)),"High Emerging Reader",IF(OR(AND(Q36&gt;25%,Q36&lt;51%, R36&gt;=1),AND(Q36&gt;50%,Q36&lt;76%,R36&lt;=2)),"Developing Reader",IF(OR(AND(Q36&gt;=51%, Q36&lt;76%,R36&gt;=3),AND(Q36&gt;75%,R36&lt;=4)),"Transitioning Reader",IF(AND(Q36&gt;75%,R36&gt;=5),"Reading At Grade Level","")))),"")),"")</f>
        <v/>
      </c>
      <c r="V36" s="88" t="n"/>
      <c r="Y36" s="221">
        <f>IF(C36&lt;&gt;"",R36/6,"")</f>
        <v/>
      </c>
    </row>
    <row r="37">
      <c r="A37" s="5" t="n">
        <v>27</v>
      </c>
      <c r="B37" s="93" t="n"/>
      <c r="C37" s="89" t="n"/>
      <c r="D37" s="90" t="n"/>
      <c r="E37" s="91" t="n"/>
      <c r="F37" s="92" t="n"/>
      <c r="G37" s="67" t="n"/>
      <c r="H37" s="93" t="n">
        <v>9</v>
      </c>
      <c r="I37" s="81">
        <f>IF(AND(F37="",G37=""),"",IF(F37&lt;7,F37+G37,F37+10+H37))</f>
        <v/>
      </c>
      <c r="J37" s="82">
        <f>IF(I37="","",IF(F37&lt;7,IF(I37&lt;=10,"Full Refresher","Moderate Refresher"),IF(I37&lt;27,"Light Refresher","Grade Ready")))</f>
        <v/>
      </c>
      <c r="K37" s="94" t="n"/>
      <c r="L37" s="95" t="n"/>
      <c r="M37" s="118">
        <f>IF($C$9&lt;&gt;"",IF(OR(K37=1, K37=2),IF(K37=1,M$7-L37,$P$7-L37),""),"")</f>
        <v/>
      </c>
      <c r="N37" s="93" t="n"/>
      <c r="O37" s="93" t="n"/>
      <c r="P37" s="118">
        <f>IF(AND(K37&gt;0,M37&gt;0,OR(N37&gt;0,O37&gt;0)),(M37/((N37*60)+O37))*60,"")</f>
        <v/>
      </c>
      <c r="Q37" s="122">
        <f>IFERROR(IF(OR(K37=1, K37=2),IF(K37=1,M37/$M$7,M37/$P$7),""),"")</f>
        <v/>
      </c>
      <c r="R37" s="93" t="n"/>
      <c r="S37" s="93" t="n"/>
      <c r="T37" s="96" t="n"/>
      <c r="U37" s="87">
        <f>IF(J37&lt;&gt;"",IF(J37="Full Refresher","Low Emerging Reader",IF(AND(K37&gt;0,Q37&lt;&gt;""),IF(OR(Q37&lt;=25%,AND(Q37&gt;25%,Q37&lt;=50%, R37=0)),"High Emerging Reader",IF(OR(AND(Q37&gt;25%,Q37&lt;51%, R37&gt;=1),AND(Q37&gt;50%,Q37&lt;76%,R37&lt;=2)),"Developing Reader",IF(OR(AND(Q37&gt;=51%, Q37&lt;76%,R37&gt;=3),AND(Q37&gt;75%,R37&lt;=4)),"Transitioning Reader",IF(AND(Q37&gt;75%,R37&gt;=5),"Reading At Grade Level","")))),"")),"")</f>
        <v/>
      </c>
      <c r="V37" s="97" t="n"/>
      <c r="Y37" s="221">
        <f>IF(C37&lt;&gt;"",R37/6,"")</f>
        <v/>
      </c>
    </row>
    <row r="38">
      <c r="A38" s="4" t="n">
        <v>28</v>
      </c>
      <c r="B38" s="85" t="n"/>
      <c r="C38" s="76" t="n"/>
      <c r="D38" s="77" t="n"/>
      <c r="E38" s="78" t="n"/>
      <c r="F38" s="79" t="n"/>
      <c r="G38" s="80" t="n"/>
      <c r="H38" s="85" t="n"/>
      <c r="I38" s="81">
        <f>IF(AND(F38="",G38=""),"",IF(F38&lt;7,F38+G38,F38+10+H38))</f>
        <v/>
      </c>
      <c r="J38" s="82">
        <f>IF(I38="","",IF(F38&lt;7,IF(I38&lt;=10,"Full Refresher","Moderate Refresher"),IF(I38&lt;27,"Light Refresher","Grade Ready")))</f>
        <v/>
      </c>
      <c r="K38" s="83" t="n"/>
      <c r="L38" s="84" t="n"/>
      <c r="M38" s="118">
        <f>IF($C$9&lt;&gt;"",IF(OR(K38=1, K38=2),IF(K38=1,M$7-L38,$P$7-L38),""),"")</f>
        <v/>
      </c>
      <c r="N38" s="85" t="n"/>
      <c r="O38" s="85" t="n"/>
      <c r="P38" s="118">
        <f>IF(AND(K38&gt;0,M38&gt;0,OR(N38&gt;0,O38&gt;0)),(M38/((N38*60)+O38))*60,"")</f>
        <v/>
      </c>
      <c r="Q38" s="122">
        <f>IFERROR(IF(OR(K38=1, K38=2),IF(K38=1,M38/$M$7,M38/$P$7),""),"")</f>
        <v/>
      </c>
      <c r="R38" s="85" t="n"/>
      <c r="S38" s="85" t="n"/>
      <c r="T38" s="86" t="n"/>
      <c r="U38" s="87">
        <f>IF(J38&lt;&gt;"",IF(J38="Full Refresher","Low Emerging Reader",IF(AND(K38&gt;0,Q38&lt;&gt;""),IF(OR(Q38&lt;=25%,AND(Q38&gt;25%,Q38&lt;=50%, R38=0)),"High Emerging Reader",IF(OR(AND(Q38&gt;25%,Q38&lt;51%, R38&gt;=1),AND(Q38&gt;50%,Q38&lt;76%,R38&lt;=2)),"Developing Reader",IF(OR(AND(Q38&gt;=51%, Q38&lt;76%,R38&gt;=3),AND(Q38&gt;75%,R38&lt;=4)),"Transitioning Reader",IF(AND(Q38&gt;75%,R38&gt;=5),"Reading At Grade Level","")))),"")),"")</f>
        <v/>
      </c>
      <c r="V38" s="88" t="n"/>
      <c r="Y38" s="221">
        <f>IF(C38&lt;&gt;"",R38/6,"")</f>
        <v/>
      </c>
    </row>
    <row r="39">
      <c r="A39" s="5" t="n">
        <v>29</v>
      </c>
      <c r="B39" s="93" t="n"/>
      <c r="C39" s="89" t="n"/>
      <c r="D39" s="90" t="n"/>
      <c r="E39" s="91" t="n"/>
      <c r="F39" s="92" t="n"/>
      <c r="G39" s="67" t="n"/>
      <c r="H39" s="93" t="n">
        <v>10</v>
      </c>
      <c r="I39" s="81">
        <f>IF(AND(F39="",G39=""),"",IF(F39&lt;7,F39+G39,F39+10+H39))</f>
        <v/>
      </c>
      <c r="J39" s="82">
        <f>IF(I39="","",IF(F39&lt;7,IF(I39&lt;=10,"Full Refresher","Moderate Refresher"),IF(I39&lt;27,"Light Refresher","Grade Ready")))</f>
        <v/>
      </c>
      <c r="K39" s="94" t="n"/>
      <c r="L39" s="95" t="n"/>
      <c r="M39" s="118">
        <f>IF($C$9&lt;&gt;"",IF(OR(K39=1, K39=2),IF(K39=1,M$7-L39,$P$7-L39),""),"")</f>
        <v/>
      </c>
      <c r="N39" s="93" t="n"/>
      <c r="O39" s="93" t="n"/>
      <c r="P39" s="118">
        <f>IF(AND(K39&gt;0,M39&gt;0,OR(N39&gt;0,O39&gt;0)),(M39/((N39*60)+O39))*60,"")</f>
        <v/>
      </c>
      <c r="Q39" s="122">
        <f>IFERROR(IF(OR(K39=1, K39=2),IF(K39=1,M39/$M$7,M39/$P$7),""),"")</f>
        <v/>
      </c>
      <c r="R39" s="93" t="n"/>
      <c r="S39" s="93" t="n"/>
      <c r="T39" s="96" t="n"/>
      <c r="U39" s="87">
        <f>IF(J39&lt;&gt;"",IF(J39="Full Refresher","Low Emerging Reader",IF(AND(K39&gt;0,Q39&lt;&gt;""),IF(OR(Q39&lt;=25%,AND(Q39&gt;25%,Q39&lt;=50%, R39=0)),"High Emerging Reader",IF(OR(AND(Q39&gt;25%,Q39&lt;51%, R39&gt;=1),AND(Q39&gt;50%,Q39&lt;76%,R39&lt;=2)),"Developing Reader",IF(OR(AND(Q39&gt;=51%, Q39&lt;76%,R39&gt;=3),AND(Q39&gt;75%,R39&lt;=4)),"Transitioning Reader",IF(AND(Q39&gt;75%,R39&gt;=5),"Reading At Grade Level","")))),"")),"")</f>
        <v/>
      </c>
      <c r="V39" s="97" t="n"/>
      <c r="Y39" s="221">
        <f>IF(C39&lt;&gt;"",R39/6,"")</f>
        <v/>
      </c>
    </row>
    <row r="40">
      <c r="A40" s="4" t="n">
        <v>30</v>
      </c>
      <c r="B40" s="85" t="n"/>
      <c r="C40" s="76" t="n"/>
      <c r="D40" s="77" t="n"/>
      <c r="E40" s="78" t="n"/>
      <c r="F40" s="79" t="n"/>
      <c r="G40" s="80" t="n"/>
      <c r="H40" s="85" t="n">
        <v>10</v>
      </c>
      <c r="I40" s="81">
        <f>IF(AND(F40="",G40=""),"",IF(F40&lt;7,F40+G40,F40+10+H40))</f>
        <v/>
      </c>
      <c r="J40" s="82">
        <f>IF(I40="","",IF(F40&lt;7,IF(I40&lt;=10,"Full Refresher","Moderate Refresher"),IF(I40&lt;27,"Light Refresher","Grade Ready")))</f>
        <v/>
      </c>
      <c r="K40" s="83" t="n"/>
      <c r="L40" s="84" t="n"/>
      <c r="M40" s="118">
        <f>IF($C$9&lt;&gt;"",IF(OR(K40=1, K40=2),IF(K40=1,M$7-L40,$P$7-L40),""),"")</f>
        <v/>
      </c>
      <c r="N40" s="85" t="n"/>
      <c r="O40" s="85" t="n"/>
      <c r="P40" s="118">
        <f>IF(AND(K40&gt;0,M40&gt;0,OR(N40&gt;0,O40&gt;0)),(M40/((N40*60)+O40))*60,"")</f>
        <v/>
      </c>
      <c r="Q40" s="122">
        <f>IFERROR(IF(OR(K40=1, K40=2),IF(K40=1,M40/$M$7,M40/$P$7),""),"")</f>
        <v/>
      </c>
      <c r="R40" s="85" t="n"/>
      <c r="S40" s="85" t="n"/>
      <c r="T40" s="86" t="n"/>
      <c r="U40" s="87">
        <f>IF(J40&lt;&gt;"",IF(J40="Full Refresher","Low Emerging Reader",IF(AND(K40&gt;0,Q40&lt;&gt;""),IF(OR(Q40&lt;=25%,AND(Q40&gt;25%,Q40&lt;=50%, R40=0)),"High Emerging Reader",IF(OR(AND(Q40&gt;25%,Q40&lt;51%, R40&gt;=1),AND(Q40&gt;50%,Q40&lt;76%,R40&lt;=2)),"Developing Reader",IF(OR(AND(Q40&gt;=51%, Q40&lt;76%,R40&gt;=3),AND(Q40&gt;75%,R40&lt;=4)),"Transitioning Reader",IF(AND(Q40&gt;75%,R40&gt;=5),"Reading At Grade Level","")))),"")),"")</f>
        <v/>
      </c>
      <c r="V40" s="88" t="n"/>
      <c r="Y40" s="221">
        <f>IF(C40&lt;&gt;"",R40/6,"")</f>
        <v/>
      </c>
    </row>
    <row r="41">
      <c r="A41" s="5" t="n">
        <v>31</v>
      </c>
      <c r="B41" s="93" t="n"/>
      <c r="C41" s="89" t="n"/>
      <c r="D41" s="90" t="n"/>
      <c r="E41" s="91" t="n"/>
      <c r="F41" s="92" t="n"/>
      <c r="G41" s="67" t="n"/>
      <c r="H41" s="93" t="n">
        <v>10</v>
      </c>
      <c r="I41" s="81">
        <f>IF(AND(F41="",G41=""),"",IF(F41&lt;7,F41+G41,F41+10+H41))</f>
        <v/>
      </c>
      <c r="J41" s="82">
        <f>IF(I41="","",IF(F41&lt;7,IF(I41&lt;=10,"Full Refresher","Moderate Refresher"),IF(I41&lt;27,"Light Refresher","Grade Ready")))</f>
        <v/>
      </c>
      <c r="K41" s="94" t="n"/>
      <c r="L41" s="95" t="n"/>
      <c r="M41" s="118">
        <f>IF($C$9&lt;&gt;"",IF(OR(K41=1, K41=2),IF(K41=1,M$7-L41,$P$7-L41),""),"")</f>
        <v/>
      </c>
      <c r="N41" s="93" t="n"/>
      <c r="O41" s="93" t="n"/>
      <c r="P41" s="118">
        <f>IF(AND(K41&gt;0,M41&gt;0,OR(N41&gt;0,O41&gt;0)),(M41/((N41*60)+O41))*60,"")</f>
        <v/>
      </c>
      <c r="Q41" s="122">
        <f>IFERROR(IF(OR(K41=1, K41=2),IF(K41=1,M41/$M$7,M41/$P$7),""),"")</f>
        <v/>
      </c>
      <c r="R41" s="93" t="n"/>
      <c r="S41" s="93" t="n"/>
      <c r="T41" s="96" t="n"/>
      <c r="U41" s="87">
        <f>IF(J41&lt;&gt;"",IF(J41="Full Refresher","Low Emerging Reader",IF(AND(K41&gt;0,Q41&lt;&gt;""),IF(OR(Q41&lt;=25%,AND(Q41&gt;25%,Q41&lt;=50%, R41=0)),"High Emerging Reader",IF(OR(AND(Q41&gt;25%,Q41&lt;51%, R41&gt;=1),AND(Q41&gt;50%,Q41&lt;76%,R41&lt;=2)),"Developing Reader",IF(OR(AND(Q41&gt;=51%, Q41&lt;76%,R41&gt;=3),AND(Q41&gt;75%,R41&lt;=4)),"Transitioning Reader",IF(AND(Q41&gt;75%,R41&gt;=5),"Reading At Grade Level","")))),"")),"")</f>
        <v/>
      </c>
      <c r="V41" s="97" t="n"/>
      <c r="Y41" s="221">
        <f>IF(C41&lt;&gt;"",R41/6,"")</f>
        <v/>
      </c>
    </row>
    <row r="42">
      <c r="A42" s="4" t="n">
        <v>32</v>
      </c>
      <c r="B42" s="85" t="n"/>
      <c r="C42" s="76" t="n"/>
      <c r="D42" s="77" t="n"/>
      <c r="E42" s="78" t="n"/>
      <c r="F42" s="79" t="n"/>
      <c r="G42" s="80" t="n"/>
      <c r="H42" s="85" t="n"/>
      <c r="I42" s="81">
        <f>IF(AND(F42="",G42=""),"",IF(F42&lt;7,F42+G42,F42+10+H42))</f>
        <v/>
      </c>
      <c r="J42" s="82">
        <f>IF(I42="","",IF(F42&lt;7,IF(I42&lt;=10,"Full Refresher","Moderate Refresher"),IF(I42&lt;27,"Light Refresher","Grade Ready")))</f>
        <v/>
      </c>
      <c r="K42" s="83" t="n"/>
      <c r="L42" s="84" t="n"/>
      <c r="M42" s="118">
        <f>IF($C$9&lt;&gt;"",IF(OR(K42=1, K42=2),IF(K42=1,M$7-L42,$P$7-L42),""),"")</f>
        <v/>
      </c>
      <c r="N42" s="85" t="n"/>
      <c r="O42" s="85" t="n"/>
      <c r="P42" s="118">
        <f>IF(AND(K42&gt;0,M42&gt;0,OR(N42&gt;0,O42&gt;0)),(M42/((N42*60)+O42))*60,"")</f>
        <v/>
      </c>
      <c r="Q42" s="122">
        <f>IFERROR(IF(OR(K42=1, K42=2),IF(K42=1,M42/$M$7,M42/$P$7),""),"")</f>
        <v/>
      </c>
      <c r="R42" s="85" t="n"/>
      <c r="S42" s="85" t="n"/>
      <c r="T42" s="86" t="n"/>
      <c r="U42" s="87">
        <f>IF(J42&lt;&gt;"",IF(J42="Full Refresher","Low Emerging Reader",IF(AND(K42&gt;0,Q42&lt;&gt;""),IF(OR(Q42&lt;=25%,AND(Q42&gt;25%,Q42&lt;=50%, R42=0)),"High Emerging Reader",IF(OR(AND(Q42&gt;25%,Q42&lt;51%, R42&gt;=1),AND(Q42&gt;50%,Q42&lt;76%,R42&lt;=2)),"Developing Reader",IF(OR(AND(Q42&gt;=51%, Q42&lt;76%,R42&gt;=3),AND(Q42&gt;75%,R42&lt;=4)),"Transitioning Reader",IF(AND(Q42&gt;75%,R42&gt;=5),"Reading At Grade Level","")))),"")),"")</f>
        <v/>
      </c>
      <c r="V42" s="88" t="n"/>
      <c r="Y42" s="221">
        <f>IF(C42&lt;&gt;"",R42/6,"")</f>
        <v/>
      </c>
    </row>
    <row r="43">
      <c r="A43" s="5" t="n">
        <v>33</v>
      </c>
      <c r="B43" s="93" t="n"/>
      <c r="C43" s="89" t="n"/>
      <c r="D43" s="90" t="n"/>
      <c r="E43" s="91" t="n"/>
      <c r="F43" s="92" t="n"/>
      <c r="G43" s="67" t="n"/>
      <c r="H43" s="93" t="n"/>
      <c r="I43" s="81">
        <f>IF(AND(F43="",G43=""),"",IF(F43&lt;7,F43+G43,F43+10+H43))</f>
        <v/>
      </c>
      <c r="J43" s="82">
        <f>IF(I43="","",IF(F43&lt;7,IF(I43&lt;=10,"Full Refresher","Moderate Refresher"),IF(I43&lt;27,"Light Refresher","Grade Ready")))</f>
        <v/>
      </c>
      <c r="K43" s="94" t="n"/>
      <c r="L43" s="95" t="n"/>
      <c r="M43" s="118">
        <f>IF($C$9&lt;&gt;"",IF(OR(K43=1, K43=2),IF(K43=1,M$7-L43,$P$7-L43),""),"")</f>
        <v/>
      </c>
      <c r="N43" s="93" t="n"/>
      <c r="O43" s="93" t="n"/>
      <c r="P43" s="118">
        <f>IF(AND(K43&gt;0,M43&gt;0,OR(N43&gt;0,O43&gt;0)),(M43/((N43*60)+O43))*60,"")</f>
        <v/>
      </c>
      <c r="Q43" s="122">
        <f>IFERROR(IF(OR(K43=1, K43=2),IF(K43=1,M43/$M$7,M43/$P$7),""),"")</f>
        <v/>
      </c>
      <c r="R43" s="93" t="n"/>
      <c r="S43" s="93" t="n"/>
      <c r="T43" s="96" t="n"/>
      <c r="U43" s="87">
        <f>IF(J43&lt;&gt;"",IF(J43="Full Refresher","Low Emerging Reader",IF(AND(K43&gt;0,Q43&lt;&gt;""),IF(OR(Q43&lt;=25%,AND(Q43&gt;25%,Q43&lt;=50%, R43=0)),"High Emerging Reader",IF(OR(AND(Q43&gt;25%,Q43&lt;51%, R43&gt;=1),AND(Q43&gt;50%,Q43&lt;76%,R43&lt;=2)),"Developing Reader",IF(OR(AND(Q43&gt;=51%, Q43&lt;76%,R43&gt;=3),AND(Q43&gt;75%,R43&lt;=4)),"Transitioning Reader",IF(AND(Q43&gt;75%,R43&gt;=5),"Reading At Grade Level","")))),"")),"")</f>
        <v/>
      </c>
      <c r="V43" s="97" t="n"/>
      <c r="Y43" s="221">
        <f>IF(C43&lt;&gt;"",R43/6,"")</f>
        <v/>
      </c>
    </row>
    <row r="44">
      <c r="A44" s="4" t="n">
        <v>34</v>
      </c>
      <c r="B44" s="85" t="n"/>
      <c r="C44" s="76" t="n"/>
      <c r="D44" s="77" t="n"/>
      <c r="E44" s="78" t="n"/>
      <c r="F44" s="79" t="n"/>
      <c r="G44" s="80" t="n"/>
      <c r="H44" s="85" t="n"/>
      <c r="I44" s="81">
        <f>IF(AND(F44="",G44=""),"",IF(F44&lt;7,F44+G44,F44+10+H44))</f>
        <v/>
      </c>
      <c r="J44" s="82">
        <f>IF(I44="","",IF(F44&lt;7,IF(I44&lt;=10,"Full Refresher","Moderate Refresher"),IF(I44&lt;27,"Light Refresher","Grade Ready")))</f>
        <v/>
      </c>
      <c r="K44" s="83" t="n"/>
      <c r="L44" s="84" t="n"/>
      <c r="M44" s="118">
        <f>IF($C$9&lt;&gt;"",IF(OR(K44=1, K44=2),IF(K44=1,M$7-L44,$P$7-L44),""),"")</f>
        <v/>
      </c>
      <c r="N44" s="85" t="n"/>
      <c r="O44" s="85" t="n"/>
      <c r="P44" s="118">
        <f>IF(AND(K44&gt;0,M44&gt;0,OR(N44&gt;0,O44&gt;0)),(M44/((N44*60)+O44))*60,"")</f>
        <v/>
      </c>
      <c r="Q44" s="122">
        <f>IFERROR(IF(OR(K44=1, K44=2),IF(K44=1,M44/$M$7,M44/$P$7),""),"")</f>
        <v/>
      </c>
      <c r="R44" s="85" t="n"/>
      <c r="S44" s="85" t="n"/>
      <c r="T44" s="86" t="n"/>
      <c r="U44" s="87">
        <f>IF(J44&lt;&gt;"",IF(J44="Full Refresher","Low Emerging Reader",IF(AND(K44&gt;0,Q44&lt;&gt;""),IF(OR(Q44&lt;=25%,AND(Q44&gt;25%,Q44&lt;=50%, R44=0)),"High Emerging Reader",IF(OR(AND(Q44&gt;25%,Q44&lt;51%, R44&gt;=1),AND(Q44&gt;50%,Q44&lt;76%,R44&lt;=2)),"Developing Reader",IF(OR(AND(Q44&gt;=51%, Q44&lt;76%,R44&gt;=3),AND(Q44&gt;75%,R44&lt;=4)),"Transitioning Reader",IF(AND(Q44&gt;75%,R44&gt;=5),"Reading At Grade Level","")))),"")),"")</f>
        <v/>
      </c>
      <c r="V44" s="88" t="n"/>
      <c r="Y44" s="221">
        <f>IF(C44&lt;&gt;"",R44/6,"")</f>
        <v/>
      </c>
    </row>
    <row r="45">
      <c r="A45" s="5" t="n">
        <v>35</v>
      </c>
      <c r="B45" s="93" t="n"/>
      <c r="C45" s="89" t="n"/>
      <c r="D45" s="90" t="n"/>
      <c r="E45" s="91" t="n"/>
      <c r="F45" s="92" t="n"/>
      <c r="G45" s="67" t="n"/>
      <c r="H45" s="93" t="n"/>
      <c r="I45" s="81">
        <f>IF(AND(F45="",G45=""),"",IF(F45&lt;7,F45+G45,F45+10+H45))</f>
        <v/>
      </c>
      <c r="J45" s="82">
        <f>IF(I45="","",IF(F45&lt;7,IF(I45&lt;=10,"Full Refresher","Moderate Refresher"),IF(I45&lt;27,"Light Refresher","Grade Ready")))</f>
        <v/>
      </c>
      <c r="K45" s="94" t="n"/>
      <c r="L45" s="95" t="n"/>
      <c r="M45" s="118">
        <f>IF($C$9&lt;&gt;"",IF(OR(K45=1, K45=2),IF(K45=1,M$7-L45,$P$7-L45),""),"")</f>
        <v/>
      </c>
      <c r="N45" s="93" t="n"/>
      <c r="O45" s="93" t="n"/>
      <c r="P45" s="118">
        <f>IF(AND(K45&gt;0,M45&gt;0,OR(N45&gt;0,O45&gt;0)),(M45/((N45*60)+O45))*60,"")</f>
        <v/>
      </c>
      <c r="Q45" s="122">
        <f>IFERROR(IF(OR(K45=1, K45=2),IF(K45=1,M45/$M$7,M45/$P$7),""),"")</f>
        <v/>
      </c>
      <c r="R45" s="93" t="n"/>
      <c r="S45" s="93" t="n"/>
      <c r="T45" s="96" t="n"/>
      <c r="U45" s="87">
        <f>IF(J45&lt;&gt;"",IF(J45="Full Refresher","Low Emerging Reader",IF(AND(K45&gt;0,Q45&lt;&gt;""),IF(OR(Q45&lt;=25%,AND(Q45&gt;25%,Q45&lt;=50%, R45=0)),"High Emerging Reader",IF(OR(AND(Q45&gt;25%,Q45&lt;51%, R45&gt;=1),AND(Q45&gt;50%,Q45&lt;76%,R45&lt;=2)),"Developing Reader",IF(OR(AND(Q45&gt;=51%, Q45&lt;76%,R45&gt;=3),AND(Q45&gt;75%,R45&lt;=4)),"Transitioning Reader",IF(AND(Q45&gt;75%,R45&gt;=5),"Reading At Grade Level","")))),"")),"")</f>
        <v/>
      </c>
      <c r="V45" s="97" t="n"/>
      <c r="Y45" s="221">
        <f>IF(C45&lt;&gt;"",R45/6,"")</f>
        <v/>
      </c>
    </row>
    <row r="46">
      <c r="A46" s="4" t="n">
        <v>36</v>
      </c>
      <c r="B46" s="85" t="n"/>
      <c r="C46" s="76" t="n"/>
      <c r="D46" s="77" t="n"/>
      <c r="E46" s="78" t="n"/>
      <c r="F46" s="79" t="n"/>
      <c r="G46" s="80" t="n"/>
      <c r="H46" s="85" t="n"/>
      <c r="I46" s="81">
        <f>IF(AND(F46="",G46=""),"",IF(F46&lt;7,F46+G46,F46+10+H46))</f>
        <v/>
      </c>
      <c r="J46" s="82">
        <f>IF(I46="","",IF(F46&lt;7,IF(I46&lt;=10,"Full Refresher","Moderate Refresher"),IF(I46&lt;27,"Light Refresher","Grade Ready")))</f>
        <v/>
      </c>
      <c r="K46" s="83" t="n"/>
      <c r="L46" s="84" t="n"/>
      <c r="M46" s="118">
        <f>IF($C$9&lt;&gt;"",IF(OR(K46=1, K46=2),IF(K46=1,M$7-L46,$P$7-L46),""),"")</f>
        <v/>
      </c>
      <c r="N46" s="85" t="n"/>
      <c r="O46" s="85" t="n"/>
      <c r="P46" s="118">
        <f>IF(AND(K46&gt;0,M46&gt;0,OR(N46&gt;0,O46&gt;0)),(M46/((N46*60)+O46))*60,"")</f>
        <v/>
      </c>
      <c r="Q46" s="122">
        <f>IFERROR(IF(OR(K46=1, K46=2),IF(K46=1,M46/$M$7,M46/$P$7),""),"")</f>
        <v/>
      </c>
      <c r="R46" s="85" t="n"/>
      <c r="S46" s="85" t="n"/>
      <c r="T46" s="86" t="n"/>
      <c r="U46" s="87">
        <f>IF(J46&lt;&gt;"",IF(J46="Full Refresher","Low Emerging Reader",IF(AND(K46&gt;0,Q46&lt;&gt;""),IF(OR(Q46&lt;=25%,AND(Q46&gt;25%,Q46&lt;=50%, R46=0)),"High Emerging Reader",IF(OR(AND(Q46&gt;25%,Q46&lt;51%, R46&gt;=1),AND(Q46&gt;50%,Q46&lt;76%,R46&lt;=2)),"Developing Reader",IF(OR(AND(Q46&gt;=51%, Q46&lt;76%,R46&gt;=3),AND(Q46&gt;75%,R46&lt;=4)),"Transitioning Reader",IF(AND(Q46&gt;75%,R46&gt;=5),"Reading At Grade Level","")))),"")),"")</f>
        <v/>
      </c>
      <c r="V46" s="88" t="n"/>
      <c r="Y46" s="221">
        <f>IF(C46&lt;&gt;"",R46/6,"")</f>
        <v/>
      </c>
    </row>
    <row r="47">
      <c r="A47" s="5" t="n">
        <v>37</v>
      </c>
      <c r="B47" s="93" t="n"/>
      <c r="C47" s="89" t="n"/>
      <c r="D47" s="90" t="n"/>
      <c r="E47" s="91" t="n"/>
      <c r="F47" s="92" t="n"/>
      <c r="G47" s="67" t="n"/>
      <c r="H47" s="93" t="n"/>
      <c r="I47" s="81">
        <f>IF(AND(F47="",G47=""),"",IF(F47&lt;7,F47+G47,F47+10+H47))</f>
        <v/>
      </c>
      <c r="J47" s="82">
        <f>IF(I47="","",IF(F47&lt;7,IF(I47&lt;=10,"Full Refresher","Moderate Refresher"),IF(I47&lt;27,"Light Refresher","Grade Ready")))</f>
        <v/>
      </c>
      <c r="K47" s="94" t="n"/>
      <c r="L47" s="95" t="n"/>
      <c r="M47" s="118">
        <f>IF($C$9&lt;&gt;"",IF(OR(K47=1, K47=2),IF(K47=1,M$7-L47,$P$7-L47),""),"")</f>
        <v/>
      </c>
      <c r="N47" s="93" t="n"/>
      <c r="O47" s="93" t="n"/>
      <c r="P47" s="118">
        <f>IF(AND(K47&gt;0,M47&gt;0,OR(N47&gt;0,O47&gt;0)),(M47/((N47*60)+O47))*60,"")</f>
        <v/>
      </c>
      <c r="Q47" s="122">
        <f>IFERROR(IF(OR(K47=1, K47=2),IF(K47=1,M47/$M$7,M47/$P$7),""),"")</f>
        <v/>
      </c>
      <c r="R47" s="93" t="n"/>
      <c r="S47" s="93" t="n"/>
      <c r="T47" s="96" t="n"/>
      <c r="U47" s="87">
        <f>IF(J47&lt;&gt;"",IF(J47="Full Refresher","Low Emerging Reader",IF(AND(K47&gt;0,Q47&lt;&gt;""),IF(OR(Q47&lt;=25%,AND(Q47&gt;25%,Q47&lt;=50%, R47=0)),"High Emerging Reader",IF(OR(AND(Q47&gt;25%,Q47&lt;51%, R47&gt;=1),AND(Q47&gt;50%,Q47&lt;76%,R47&lt;=2)),"Developing Reader",IF(OR(AND(Q47&gt;=51%, Q47&lt;76%,R47&gt;=3),AND(Q47&gt;75%,R47&lt;=4)),"Transitioning Reader",IF(AND(Q47&gt;75%,R47&gt;=5),"Reading At Grade Level","")))),"")),"")</f>
        <v/>
      </c>
      <c r="V47" s="97" t="n"/>
      <c r="Y47" s="221">
        <f>IF(C47&lt;&gt;"",R47/6,"")</f>
        <v/>
      </c>
    </row>
    <row r="48">
      <c r="A48" s="4" t="n">
        <v>38</v>
      </c>
      <c r="B48" s="85" t="n"/>
      <c r="C48" s="76" t="n"/>
      <c r="D48" s="77" t="n"/>
      <c r="E48" s="78" t="n"/>
      <c r="F48" s="79" t="n"/>
      <c r="G48" s="80" t="n"/>
      <c r="H48" s="85" t="n"/>
      <c r="I48" s="81">
        <f>IF(AND(F48="",G48=""),"",IF(F48&lt;7,F48+G48,F48+10+H48))</f>
        <v/>
      </c>
      <c r="J48" s="82">
        <f>IF(I48="","",IF(F48&lt;7,IF(I48&lt;=10,"Full Refresher","Moderate Refresher"),IF(I48&lt;27,"Light Refresher","Grade Ready")))</f>
        <v/>
      </c>
      <c r="K48" s="83" t="n"/>
      <c r="L48" s="84" t="n"/>
      <c r="M48" s="118">
        <f>IF($C$9&lt;&gt;"",IF(OR(K48=1, K48=2),IF(K48=1,M$7-L48,$P$7-L48),""),"")</f>
        <v/>
      </c>
      <c r="N48" s="85" t="n"/>
      <c r="O48" s="85" t="n"/>
      <c r="P48" s="118">
        <f>IF(AND(K48&gt;0,M48&gt;0,OR(N48&gt;0,O48&gt;0)),(M48/((N48*60)+O48))*60,"")</f>
        <v/>
      </c>
      <c r="Q48" s="122">
        <f>IFERROR(IF(OR(K48=1, K48=2),IF(K48=1,M48/$M$7,M48/$P$7),""),"")</f>
        <v/>
      </c>
      <c r="R48" s="85" t="n"/>
      <c r="S48" s="85" t="n"/>
      <c r="T48" s="86" t="n"/>
      <c r="U48" s="87">
        <f>IF(J48&lt;&gt;"",IF(J48="Full Refresher","Low Emerging Reader",IF(AND(K48&gt;0,Q48&lt;&gt;""),IF(OR(Q48&lt;=25%,AND(Q48&gt;25%,Q48&lt;=50%, R48=0)),"High Emerging Reader",IF(OR(AND(Q48&gt;25%,Q48&lt;51%, R48&gt;=1),AND(Q48&gt;50%,Q48&lt;76%,R48&lt;=2)),"Developing Reader",IF(OR(AND(Q48&gt;=51%, Q48&lt;76%,R48&gt;=3),AND(Q48&gt;75%,R48&lt;=4)),"Transitioning Reader",IF(AND(Q48&gt;75%,R48&gt;=5),"Reading At Grade Level","")))),"")),"")</f>
        <v/>
      </c>
      <c r="V48" s="88" t="n"/>
      <c r="Y48" s="221">
        <f>IF(C48&lt;&gt;"",R48/6,"")</f>
        <v/>
      </c>
    </row>
    <row r="49">
      <c r="A49" s="5" t="n">
        <v>39</v>
      </c>
      <c r="B49" s="93" t="n"/>
      <c r="C49" s="89" t="n"/>
      <c r="D49" s="90" t="n"/>
      <c r="E49" s="91" t="n"/>
      <c r="F49" s="92" t="n"/>
      <c r="G49" s="67" t="n"/>
      <c r="H49" s="93" t="n"/>
      <c r="I49" s="81">
        <f>IF(AND(F49="",G49=""),"",IF(F49&lt;7,F49+G49,F49+10+H49))</f>
        <v/>
      </c>
      <c r="J49" s="82">
        <f>IF(I49="","",IF(F49&lt;7,IF(I49&lt;=10,"Full Refresher","Moderate Refresher"),IF(I49&lt;27,"Light Refresher","Grade Ready")))</f>
        <v/>
      </c>
      <c r="K49" s="94" t="n"/>
      <c r="L49" s="95" t="n"/>
      <c r="M49" s="118">
        <f>IF($C$9&lt;&gt;"",IF(OR(K49=1, K49=2),IF(K49=1,M$7-L49,$P$7-L49),""),"")</f>
        <v/>
      </c>
      <c r="N49" s="93" t="n"/>
      <c r="O49" s="93" t="n"/>
      <c r="P49" s="118">
        <f>IF(AND(K49&gt;0,M49&gt;0,OR(N49&gt;0,O49&gt;0)),(M49/((N49*60)+O49))*60,"")</f>
        <v/>
      </c>
      <c r="Q49" s="122">
        <f>IFERROR(IF(OR(K49=1, K49=2),IF(K49=1,M49/$M$7,M49/$P$7),""),"")</f>
        <v/>
      </c>
      <c r="R49" s="93" t="n"/>
      <c r="S49" s="93" t="n"/>
      <c r="T49" s="96" t="n"/>
      <c r="U49" s="87">
        <f>IF(J49&lt;&gt;"",IF(J49="Full Refresher","Low Emerging Reader",IF(AND(K49&gt;0,Q49&lt;&gt;""),IF(OR(Q49&lt;=25%,AND(Q49&gt;25%,Q49&lt;=50%, R49=0)),"High Emerging Reader",IF(OR(AND(Q49&gt;25%,Q49&lt;51%, R49&gt;=1),AND(Q49&gt;50%,Q49&lt;76%,R49&lt;=2)),"Developing Reader",IF(OR(AND(Q49&gt;=51%, Q49&lt;76%,R49&gt;=3),AND(Q49&gt;75%,R49&lt;=4)),"Transitioning Reader",IF(AND(Q49&gt;75%,R49&gt;=5),"Reading At Grade Level","")))),"")),"")</f>
        <v/>
      </c>
      <c r="V49" s="97" t="n"/>
      <c r="Y49" s="221">
        <f>IF(C49&lt;&gt;"",R49/6,"")</f>
        <v/>
      </c>
    </row>
    <row r="50">
      <c r="A50" s="4" t="n">
        <v>40</v>
      </c>
      <c r="B50" s="85" t="n"/>
      <c r="C50" s="76" t="n"/>
      <c r="D50" s="77" t="n"/>
      <c r="E50" s="78" t="n"/>
      <c r="F50" s="79" t="n"/>
      <c r="G50" s="80" t="n"/>
      <c r="H50" s="85" t="n"/>
      <c r="I50" s="81">
        <f>IF(AND(F50="",G50=""),"",IF(F50&lt;7,F50+G50,F50+10+H50))</f>
        <v/>
      </c>
      <c r="J50" s="82">
        <f>IF(I50="","",IF(F50&lt;7,IF(I50&lt;=10,"Full Refresher","Moderate Refresher"),IF(I50&lt;27,"Light Refresher","Grade Ready")))</f>
        <v/>
      </c>
      <c r="K50" s="83" t="n"/>
      <c r="L50" s="84" t="n"/>
      <c r="M50" s="118">
        <f>IF($C$9&lt;&gt;"",IF(OR(K50=1, K50=2),IF(K50=1,M$7-L50,$P$7-L50),""),"")</f>
        <v/>
      </c>
      <c r="N50" s="85" t="n"/>
      <c r="O50" s="85" t="n"/>
      <c r="P50" s="118">
        <f>IF(AND(K50&gt;0,M50&gt;0,OR(N50&gt;0,O50&gt;0)),(M50/((N50*60)+O50))*60,"")</f>
        <v/>
      </c>
      <c r="Q50" s="122">
        <f>IFERROR(IF(OR(K50=1, K50=2),IF(K50=1,M50/$M$7,M50/$P$7),""),"")</f>
        <v/>
      </c>
      <c r="R50" s="85" t="n"/>
      <c r="S50" s="85" t="n"/>
      <c r="T50" s="86" t="n"/>
      <c r="U50" s="87">
        <f>IF(J50&lt;&gt;"",IF(J50="Full Refresher","Low Emerging Reader",IF(AND(K50&gt;0,Q50&lt;&gt;""),IF(OR(Q50&lt;=25%,AND(Q50&gt;25%,Q50&lt;=50%, R50=0)),"High Emerging Reader",IF(OR(AND(Q50&gt;25%,Q50&lt;51%, R50&gt;=1),AND(Q50&gt;50%,Q50&lt;76%,R50&lt;=2)),"Developing Reader",IF(OR(AND(Q50&gt;=51%, Q50&lt;76%,R50&gt;=3),AND(Q50&gt;75%,R50&lt;=4)),"Transitioning Reader",IF(AND(Q50&gt;75%,R50&gt;=5),"Reading At Grade Level","")))),"")),"")</f>
        <v/>
      </c>
      <c r="V50" s="88" t="n"/>
      <c r="Y50" s="221">
        <f>IF(C50&lt;&gt;"",R50/6,"")</f>
        <v/>
      </c>
    </row>
    <row r="51">
      <c r="A51" s="5" t="n">
        <v>41</v>
      </c>
      <c r="B51" s="93" t="n"/>
      <c r="C51" s="89" t="n"/>
      <c r="D51" s="90" t="n"/>
      <c r="E51" s="91" t="n"/>
      <c r="F51" s="92" t="n"/>
      <c r="G51" s="67" t="n"/>
      <c r="H51" s="93" t="n"/>
      <c r="I51" s="81">
        <f>IF(AND(F51="",G51=""),"",IF(F51&lt;7,F51+G51,F51+10+H51))</f>
        <v/>
      </c>
      <c r="J51" s="82">
        <f>IF(I51="","",IF(F51&lt;7,IF(I51&lt;=10,"Full Refresher","Moderate Refresher"),IF(I51&lt;27,"Light Refresher","Grade Ready")))</f>
        <v/>
      </c>
      <c r="K51" s="94" t="n"/>
      <c r="L51" s="95" t="n"/>
      <c r="M51" s="118">
        <f>IF($C$9&lt;&gt;"",IF(OR(K51=1, K51=2),IF(K51=1,M$7-L51,$P$7-L51),""),"")</f>
        <v/>
      </c>
      <c r="N51" s="93" t="n"/>
      <c r="O51" s="93" t="n"/>
      <c r="P51" s="118">
        <f>IF(AND(K51&gt;0,M51&gt;0,OR(N51&gt;0,O51&gt;0)),(M51/((N51*60)+O51))*60,"")</f>
        <v/>
      </c>
      <c r="Q51" s="122">
        <f>IFERROR(IF(OR(K51=1, K51=2),IF(K51=1,M51/$M$7,M51/$P$7),""),"")</f>
        <v/>
      </c>
      <c r="R51" s="93" t="n"/>
      <c r="S51" s="93" t="n"/>
      <c r="T51" s="96" t="n"/>
      <c r="U51" s="87">
        <f>IF(J51&lt;&gt;"",IF(J51="Full Refresher","Low Emerging Reader",IF(AND(K51&gt;0,Q51&lt;&gt;""),IF(OR(Q51&lt;=25%,AND(Q51&gt;25%,Q51&lt;=50%, R51=0)),"High Emerging Reader",IF(OR(AND(Q51&gt;25%,Q51&lt;51%, R51&gt;=1),AND(Q51&gt;50%,Q51&lt;76%,R51&lt;=2)),"Developing Reader",IF(OR(AND(Q51&gt;=51%, Q51&lt;76%,R51&gt;=3),AND(Q51&gt;75%,R51&lt;=4)),"Transitioning Reader",IF(AND(Q51&gt;75%,R51&gt;=5),"Reading At Grade Level","")))),"")),"")</f>
        <v/>
      </c>
      <c r="V51" s="97" t="n"/>
      <c r="Y51" s="221">
        <f>IF(C51&lt;&gt;"",R51/6,"")</f>
        <v/>
      </c>
    </row>
    <row r="52">
      <c r="A52" s="4" t="n">
        <v>42</v>
      </c>
      <c r="B52" s="85" t="n"/>
      <c r="C52" s="76" t="n"/>
      <c r="D52" s="77" t="n"/>
      <c r="E52" s="78" t="n"/>
      <c r="F52" s="79" t="n"/>
      <c r="G52" s="80" t="n"/>
      <c r="H52" s="85" t="n"/>
      <c r="I52" s="81">
        <f>IF(AND(F52="",G52=""),"",IF(F52&lt;7,F52+G52,F52+10+H52))</f>
        <v/>
      </c>
      <c r="J52" s="82">
        <f>IF(I52="","",IF(F52&lt;7,IF(I52&lt;=10,"Full Refresher","Moderate Refresher"),IF(I52&lt;27,"Light Refresher","Grade Ready")))</f>
        <v/>
      </c>
      <c r="K52" s="83" t="n"/>
      <c r="L52" s="84" t="n"/>
      <c r="M52" s="118">
        <f>IF($C$9&lt;&gt;"",IF(OR(K52=1, K52=2),IF(K52=1,M$7-L52,$P$7-L52),""),"")</f>
        <v/>
      </c>
      <c r="N52" s="85" t="n"/>
      <c r="O52" s="85" t="n"/>
      <c r="P52" s="118">
        <f>IF(AND(K52&gt;0,M52&gt;0,OR(N52&gt;0,O52&gt;0)),(M52/((N52*60)+O52))*60,"")</f>
        <v/>
      </c>
      <c r="Q52" s="122">
        <f>IFERROR(IF(OR(K52=1, K52=2),IF(K52=1,M52/$M$7,M52/$P$7),""),"")</f>
        <v/>
      </c>
      <c r="R52" s="85" t="n"/>
      <c r="S52" s="85" t="n"/>
      <c r="T52" s="86" t="n"/>
      <c r="U52" s="87">
        <f>IF(J52&lt;&gt;"",IF(J52="Full Refresher","Low Emerging Reader",IF(AND(K52&gt;0,Q52&lt;&gt;""),IF(OR(Q52&lt;=25%,AND(Q52&gt;25%,Q52&lt;=50%, R52=0)),"High Emerging Reader",IF(OR(AND(Q52&gt;25%,Q52&lt;51%, R52&gt;=1),AND(Q52&gt;50%,Q52&lt;76%,R52&lt;=2)),"Developing Reader",IF(OR(AND(Q52&gt;=51%, Q52&lt;76%,R52&gt;=3),AND(Q52&gt;75%,R52&lt;=4)),"Transitioning Reader",IF(AND(Q52&gt;75%,R52&gt;=5),"Reading At Grade Level","")))),"")),"")</f>
        <v/>
      </c>
      <c r="V52" s="88" t="n"/>
      <c r="Y52" s="221">
        <f>IF(C52&lt;&gt;"",R52/6,"")</f>
        <v/>
      </c>
    </row>
    <row r="53">
      <c r="A53" s="5" t="n">
        <v>43</v>
      </c>
      <c r="B53" s="93" t="n"/>
      <c r="C53" s="89" t="n"/>
      <c r="D53" s="90" t="n"/>
      <c r="E53" s="91" t="n"/>
      <c r="F53" s="92" t="n"/>
      <c r="G53" s="67" t="n"/>
      <c r="H53" s="93" t="n"/>
      <c r="I53" s="81">
        <f>IF(AND(F53="",G53=""),"",IF(F53&lt;7,F53+G53,F53+10+H53))</f>
        <v/>
      </c>
      <c r="J53" s="82">
        <f>IF(I53="","",IF(F53&lt;7,IF(I53&lt;=10,"Full Refresher","Moderate Refresher"),IF(I53&lt;27,"Light Refresher","Grade Ready")))</f>
        <v/>
      </c>
      <c r="K53" s="94" t="n"/>
      <c r="L53" s="95" t="n"/>
      <c r="M53" s="118">
        <f>IF($C$9&lt;&gt;"",IF(OR(K53=1, K53=2),IF(K53=1,M$7-L53,$P$7-L53),""),"")</f>
        <v/>
      </c>
      <c r="N53" s="93" t="n"/>
      <c r="O53" s="93" t="n"/>
      <c r="P53" s="118">
        <f>IF(AND(K53&gt;0,M53&gt;0,OR(N53&gt;0,O53&gt;0)),(M53/((N53*60)+O53))*60,"")</f>
        <v/>
      </c>
      <c r="Q53" s="122">
        <f>IFERROR(IF(OR(K53=1, K53=2),IF(K53=1,M53/$M$7,M53/$P$7),""),"")</f>
        <v/>
      </c>
      <c r="R53" s="93" t="n"/>
      <c r="S53" s="93" t="n"/>
      <c r="T53" s="96" t="n"/>
      <c r="U53" s="87">
        <f>IF(J53&lt;&gt;"",IF(J53="Full Refresher","Low Emerging Reader",IF(AND(K53&gt;0,Q53&lt;&gt;""),IF(OR(Q53&lt;=25%,AND(Q53&gt;25%,Q53&lt;=50%, R53=0)),"High Emerging Reader",IF(OR(AND(Q53&gt;25%,Q53&lt;51%, R53&gt;=1),AND(Q53&gt;50%,Q53&lt;76%,R53&lt;=2)),"Developing Reader",IF(OR(AND(Q53&gt;=51%, Q53&lt;76%,R53&gt;=3),AND(Q53&gt;75%,R53&lt;=4)),"Transitioning Reader",IF(AND(Q53&gt;75%,R53&gt;=5),"Reading At Grade Level","")))),"")),"")</f>
        <v/>
      </c>
      <c r="V53" s="97" t="n"/>
      <c r="Y53" s="221">
        <f>IF(C53&lt;&gt;"",R53/6,"")</f>
        <v/>
      </c>
    </row>
    <row r="54">
      <c r="A54" s="4" t="n">
        <v>44</v>
      </c>
      <c r="B54" s="85" t="n"/>
      <c r="C54" s="76" t="n"/>
      <c r="D54" s="77" t="n"/>
      <c r="E54" s="78" t="n"/>
      <c r="F54" s="79" t="n"/>
      <c r="G54" s="80" t="n"/>
      <c r="H54" s="85" t="n"/>
      <c r="I54" s="81">
        <f>IF(AND(F54="",G54=""),"",IF(F54&lt;7,F54+G54,F54+10+H54))</f>
        <v/>
      </c>
      <c r="J54" s="82">
        <f>IF(I54="","",IF(F54&lt;7,IF(I54&lt;=10,"Full Refresher","Moderate Refresher"),IF(I54&lt;27,"Light Refresher","Grade Ready")))</f>
        <v/>
      </c>
      <c r="K54" s="83" t="n"/>
      <c r="L54" s="84" t="n"/>
      <c r="M54" s="118">
        <f>IF($C$9&lt;&gt;"",IF(OR(K54=1, K54=2),IF(K54=1,M$7-L54,$P$7-L54),""),"")</f>
        <v/>
      </c>
      <c r="N54" s="85" t="n"/>
      <c r="O54" s="85" t="n"/>
      <c r="P54" s="118">
        <f>IF(AND(K54&gt;0,M54&gt;0,OR(N54&gt;0,O54&gt;0)),(M54/((N54*60)+O54))*60,"")</f>
        <v/>
      </c>
      <c r="Q54" s="122">
        <f>IFERROR(IF(OR(K54=1, K54=2),IF(K54=1,M54/$M$7,M54/$P$7),""),"")</f>
        <v/>
      </c>
      <c r="R54" s="85" t="n"/>
      <c r="S54" s="85" t="n"/>
      <c r="T54" s="86" t="n"/>
      <c r="U54" s="87">
        <f>IF(J54&lt;&gt;"",IF(J54="Full Refresher","Low Emerging Reader",IF(AND(K54&gt;0,Q54&lt;&gt;""),IF(OR(Q54&lt;=25%,AND(Q54&gt;25%,Q54&lt;=50%, R54=0)),"High Emerging Reader",IF(OR(AND(Q54&gt;25%,Q54&lt;51%, R54&gt;=1),AND(Q54&gt;50%,Q54&lt;76%,R54&lt;=2)),"Developing Reader",IF(OR(AND(Q54&gt;=51%, Q54&lt;76%,R54&gt;=3),AND(Q54&gt;75%,R54&lt;=4)),"Transitioning Reader",IF(AND(Q54&gt;75%,R54&gt;=5),"Reading At Grade Level","")))),"")),"")</f>
        <v/>
      </c>
      <c r="V54" s="88" t="n"/>
      <c r="Y54" s="221">
        <f>IF(C54&lt;&gt;"",R54/6,"")</f>
        <v/>
      </c>
    </row>
    <row r="55">
      <c r="A55" s="5" t="n">
        <v>45</v>
      </c>
      <c r="B55" s="93" t="n"/>
      <c r="C55" s="89" t="n"/>
      <c r="D55" s="90" t="n"/>
      <c r="E55" s="91" t="n"/>
      <c r="F55" s="92" t="n"/>
      <c r="G55" s="67" t="n"/>
      <c r="H55" s="93" t="n"/>
      <c r="I55" s="81">
        <f>IF(AND(F55="",G55=""),"",IF(F55&lt;7,F55+G55,F55+10+H55))</f>
        <v/>
      </c>
      <c r="J55" s="82">
        <f>IF(I55="","",IF(F55&lt;7,IF(I55&lt;=10,"Full Refresher","Moderate Refresher"),IF(I55&lt;27,"Light Refresher","Grade Ready")))</f>
        <v/>
      </c>
      <c r="K55" s="94" t="n"/>
      <c r="L55" s="95" t="n"/>
      <c r="M55" s="118">
        <f>IF($C$9&lt;&gt;"",IF(OR(K55=1, K55=2),IF(K55=1,M$7-L55,$P$7-L55),""),"")</f>
        <v/>
      </c>
      <c r="N55" s="93" t="n"/>
      <c r="O55" s="93" t="n"/>
      <c r="P55" s="118">
        <f>IF(AND(K55&gt;0,M55&gt;0,OR(N55&gt;0,O55&gt;0)),(M55/((N55*60)+O55))*60,"")</f>
        <v/>
      </c>
      <c r="Q55" s="122">
        <f>IFERROR(IF(OR(K55=1, K55=2),IF(K55=1,M55/$M$7,M55/$P$7),""),"")</f>
        <v/>
      </c>
      <c r="R55" s="93" t="n"/>
      <c r="S55" s="93" t="n"/>
      <c r="T55" s="96" t="n"/>
      <c r="U55" s="87">
        <f>IF(J55&lt;&gt;"",IF(J55="Full Refresher","Low Emerging Reader",IF(AND(K55&gt;0,Q55&lt;&gt;""),IF(OR(Q55&lt;=25%,AND(Q55&gt;25%,Q55&lt;=50%, R55=0)),"High Emerging Reader",IF(OR(AND(Q55&gt;25%,Q55&lt;51%, R55&gt;=1),AND(Q55&gt;50%,Q55&lt;76%,R55&lt;=2)),"Developing Reader",IF(OR(AND(Q55&gt;=51%, Q55&lt;76%,R55&gt;=3),AND(Q55&gt;75%,R55&lt;=4)),"Transitioning Reader",IF(AND(Q55&gt;75%,R55&gt;=5),"Reading At Grade Level","")))),"")),"")</f>
        <v/>
      </c>
      <c r="V55" s="97" t="n"/>
      <c r="Y55" s="221">
        <f>IF(C55&lt;&gt;"",R55/6,"")</f>
        <v/>
      </c>
    </row>
    <row r="56">
      <c r="A56" s="4" t="n">
        <v>46</v>
      </c>
      <c r="B56" s="85" t="n"/>
      <c r="C56" s="76" t="n"/>
      <c r="D56" s="77" t="n"/>
      <c r="E56" s="78" t="n"/>
      <c r="F56" s="79" t="n"/>
      <c r="G56" s="80" t="n"/>
      <c r="H56" s="85" t="n"/>
      <c r="I56" s="81">
        <f>IF(AND(F56="",G56=""),"",IF(F56&lt;7,F56+G56,F56+10+H56))</f>
        <v/>
      </c>
      <c r="J56" s="82">
        <f>IF(I56="","",IF(F56&lt;7,IF(I56&lt;=10,"Full Refresher","Moderate Refresher"),IF(I56&lt;27,"Light Refresher","Grade Ready")))</f>
        <v/>
      </c>
      <c r="K56" s="83" t="n"/>
      <c r="L56" s="84" t="n"/>
      <c r="M56" s="118">
        <f>IF($C$9&lt;&gt;"",IF(OR(K56=1, K56=2),IF(K56=1,M$7-L56,$P$7-L56),""),"")</f>
        <v/>
      </c>
      <c r="N56" s="85" t="n"/>
      <c r="O56" s="85" t="n"/>
      <c r="P56" s="118">
        <f>IF(AND(K56&gt;0,M56&gt;0,OR(N56&gt;0,O56&gt;0)),(M56/((N56*60)+O56))*60,"")</f>
        <v/>
      </c>
      <c r="Q56" s="122">
        <f>IFERROR(IF(OR(K56=1, K56=2),IF(K56=1,M56/$M$7,M56/$P$7),""),"")</f>
        <v/>
      </c>
      <c r="R56" s="85" t="n"/>
      <c r="S56" s="85" t="n"/>
      <c r="T56" s="86" t="n"/>
      <c r="U56" s="87">
        <f>IF(J56&lt;&gt;"",IF(J56="Full Refresher","Low Emerging Reader",IF(AND(K56&gt;0,Q56&lt;&gt;""),IF(OR(Q56&lt;=25%,AND(Q56&gt;25%,Q56&lt;=50%, R56=0)),"High Emerging Reader",IF(OR(AND(Q56&gt;25%,Q56&lt;51%, R56&gt;=1),AND(Q56&gt;50%,Q56&lt;76%,R56&lt;=2)),"Developing Reader",IF(OR(AND(Q56&gt;=51%, Q56&lt;76%,R56&gt;=3),AND(Q56&gt;75%,R56&lt;=4)),"Transitioning Reader",IF(AND(Q56&gt;75%,R56&gt;=5),"Reading At Grade Level","")))),"")),"")</f>
        <v/>
      </c>
      <c r="V56" s="88" t="n"/>
      <c r="Y56" s="221">
        <f>IF(C56&lt;&gt;"",R56/6,"")</f>
        <v/>
      </c>
    </row>
    <row r="57">
      <c r="A57" s="5" t="n">
        <v>47</v>
      </c>
      <c r="B57" s="93" t="n"/>
      <c r="C57" s="89" t="n"/>
      <c r="D57" s="90" t="n"/>
      <c r="E57" s="91" t="n"/>
      <c r="F57" s="92" t="n"/>
      <c r="G57" s="67" t="n"/>
      <c r="H57" s="93" t="n"/>
      <c r="I57" s="81">
        <f>IF(AND(F57="",G57=""),"",IF(F57&lt;7,F57+G57,F57+10+H57))</f>
        <v/>
      </c>
      <c r="J57" s="82">
        <f>IF(I57="","",IF(F57&lt;7,IF(I57&lt;=10,"Full Refresher","Moderate Refresher"),IF(I57&lt;27,"Light Refresher","Grade Ready")))</f>
        <v/>
      </c>
      <c r="K57" s="94" t="n"/>
      <c r="L57" s="95" t="n"/>
      <c r="M57" s="118">
        <f>IF($C$9&lt;&gt;"",IF(OR(K57=1, K57=2),IF(K57=1,M$7-L57,$P$7-L57),""),"")</f>
        <v/>
      </c>
      <c r="N57" s="93" t="n"/>
      <c r="O57" s="93" t="n"/>
      <c r="P57" s="118">
        <f>IF(AND(K57&gt;0,M57&gt;0,OR(N57&gt;0,O57&gt;0)),(M57/((N57*60)+O57))*60,"")</f>
        <v/>
      </c>
      <c r="Q57" s="122">
        <f>IFERROR(IF(OR(K57=1, K57=2),IF(K57=1,M57/$M$7,M57/$P$7),""),"")</f>
        <v/>
      </c>
      <c r="R57" s="93" t="n"/>
      <c r="S57" s="93" t="n"/>
      <c r="T57" s="96" t="n"/>
      <c r="U57" s="87">
        <f>IF(J57&lt;&gt;"",IF(J57="Full Refresher","Low Emerging Reader",IF(AND(K57&gt;0,Q57&lt;&gt;""),IF(OR(Q57&lt;=25%,AND(Q57&gt;25%,Q57&lt;=50%, R57=0)),"High Emerging Reader",IF(OR(AND(Q57&gt;25%,Q57&lt;51%, R57&gt;=1),AND(Q57&gt;50%,Q57&lt;76%,R57&lt;=2)),"Developing Reader",IF(OR(AND(Q57&gt;=51%, Q57&lt;76%,R57&gt;=3),AND(Q57&gt;75%,R57&lt;=4)),"Transitioning Reader",IF(AND(Q57&gt;75%,R57&gt;=5),"Reading At Grade Level","")))),"")),"")</f>
        <v/>
      </c>
      <c r="V57" s="97" t="n"/>
      <c r="Y57" s="221">
        <f>IF(C57&lt;&gt;"",R57/6,"")</f>
        <v/>
      </c>
    </row>
    <row r="58">
      <c r="A58" s="4" t="n">
        <v>48</v>
      </c>
      <c r="B58" s="85" t="n"/>
      <c r="C58" s="76" t="n"/>
      <c r="D58" s="77" t="n"/>
      <c r="E58" s="78" t="n"/>
      <c r="F58" s="79" t="n"/>
      <c r="G58" s="80" t="n"/>
      <c r="H58" s="85" t="n"/>
      <c r="I58" s="81">
        <f>IF(AND(F58="",G58=""),"",IF(F58&lt;7,F58+G58,F58+10+H58))</f>
        <v/>
      </c>
      <c r="J58" s="82">
        <f>IF(I58="","",IF(F58&lt;7,IF(I58&lt;=10,"Full Refresher","Moderate Refresher"),IF(I58&lt;27,"Light Refresher","Grade Ready")))</f>
        <v/>
      </c>
      <c r="K58" s="83" t="n"/>
      <c r="L58" s="84" t="n"/>
      <c r="M58" s="118">
        <f>IF($C$9&lt;&gt;"",IF(OR(K58=1, K58=2),IF(K58=1,M$7-L58,$P$7-L58),""),"")</f>
        <v/>
      </c>
      <c r="N58" s="85" t="n"/>
      <c r="O58" s="85" t="n"/>
      <c r="P58" s="118">
        <f>IF(AND(K58&gt;0,M58&gt;0,OR(N58&gt;0,O58&gt;0)),(M58/((N58*60)+O58))*60,"")</f>
        <v/>
      </c>
      <c r="Q58" s="122">
        <f>IFERROR(IF(OR(K58=1, K58=2),IF(K58=1,M58/$M$7,M58/$P$7),""),"")</f>
        <v/>
      </c>
      <c r="R58" s="85" t="n"/>
      <c r="S58" s="85" t="n"/>
      <c r="T58" s="86" t="n"/>
      <c r="U58" s="87">
        <f>IF(J58&lt;&gt;"",IF(J58="Full Refresher","Low Emerging Reader",IF(AND(K58&gt;0,Q58&lt;&gt;""),IF(OR(Q58&lt;=25%,AND(Q58&gt;25%,Q58&lt;=50%, R58=0)),"High Emerging Reader",IF(OR(AND(Q58&gt;25%,Q58&lt;51%, R58&gt;=1),AND(Q58&gt;50%,Q58&lt;76%,R58&lt;=2)),"Developing Reader",IF(OR(AND(Q58&gt;=51%, Q58&lt;76%,R58&gt;=3),AND(Q58&gt;75%,R58&lt;=4)),"Transitioning Reader",IF(AND(Q58&gt;75%,R58&gt;=5),"Reading At Grade Level","")))),"")),"")</f>
        <v/>
      </c>
      <c r="V58" s="88" t="n"/>
      <c r="Y58" s="221">
        <f>IF(C58&lt;&gt;"",R58/6,"")</f>
        <v/>
      </c>
    </row>
    <row r="59">
      <c r="A59" s="5" t="n">
        <v>49</v>
      </c>
      <c r="B59" s="93" t="n"/>
      <c r="C59" s="89" t="n"/>
      <c r="D59" s="90" t="n"/>
      <c r="E59" s="91" t="n"/>
      <c r="F59" s="92" t="n"/>
      <c r="G59" s="67" t="n"/>
      <c r="H59" s="93" t="n"/>
      <c r="I59" s="81">
        <f>IF(AND(F59="",G59=""),"",IF(F59&lt;7,F59+G59,F59+10+H59))</f>
        <v/>
      </c>
      <c r="J59" s="82">
        <f>IF(I59="","",IF(F59&lt;7,IF(I59&lt;=10,"Full Refresher","Moderate Refresher"),IF(I59&lt;27,"Light Refresher","Grade Ready")))</f>
        <v/>
      </c>
      <c r="K59" s="94" t="n"/>
      <c r="L59" s="95" t="n"/>
      <c r="M59" s="118">
        <f>IF($C$9&lt;&gt;"",IF(OR(K59=1, K59=2),IF(K59=1,M$7-L59,$P$7-L59),""),"")</f>
        <v/>
      </c>
      <c r="N59" s="93" t="n"/>
      <c r="O59" s="93" t="n"/>
      <c r="P59" s="118">
        <f>IF(AND(K59&gt;0,M59&gt;0,OR(N59&gt;0,O59&gt;0)),(M59/((N59*60)+O59))*60,"")</f>
        <v/>
      </c>
      <c r="Q59" s="122">
        <f>IFERROR(IF(OR(K59=1, K59=2),IF(K59=1,M59/$M$7,M59/$P$7),""),"")</f>
        <v/>
      </c>
      <c r="R59" s="93" t="n"/>
      <c r="S59" s="93" t="n"/>
      <c r="T59" s="96" t="n"/>
      <c r="U59" s="87">
        <f>IF(J59&lt;&gt;"",IF(J59="Full Refresher","Low Emerging Reader",IF(AND(K59&gt;0,Q59&lt;&gt;""),IF(OR(Q59&lt;=25%,AND(Q59&gt;25%,Q59&lt;=50%, R59=0)),"High Emerging Reader",IF(OR(AND(Q59&gt;25%,Q59&lt;51%, R59&gt;=1),AND(Q59&gt;50%,Q59&lt;76%,R59&lt;=2)),"Developing Reader",IF(OR(AND(Q59&gt;=51%, Q59&lt;76%,R59&gt;=3),AND(Q59&gt;75%,R59&lt;=4)),"Transitioning Reader",IF(AND(Q59&gt;75%,R59&gt;=5),"Reading At Grade Level","")))),"")),"")</f>
        <v/>
      </c>
      <c r="V59" s="97" t="n"/>
      <c r="Y59" s="221">
        <f>IF(C59&lt;&gt;"",R59/6,"")</f>
        <v/>
      </c>
    </row>
    <row r="60">
      <c r="A60" s="4" t="n">
        <v>50</v>
      </c>
      <c r="B60" s="85" t="n"/>
      <c r="C60" s="76" t="n"/>
      <c r="D60" s="77" t="n"/>
      <c r="E60" s="78" t="n"/>
      <c r="F60" s="79" t="n"/>
      <c r="G60" s="80" t="n"/>
      <c r="H60" s="85" t="n"/>
      <c r="I60" s="81">
        <f>IF(AND(F60="",G60=""),"",IF(F60&lt;7,F60+G60,F60+10+H60))</f>
        <v/>
      </c>
      <c r="J60" s="82">
        <f>IF(I60="","",IF(F60&lt;7,IF(I60&lt;=10,"Full Refresher","Moderate Refresher"),IF(I60&lt;27,"Light Refresher","Grade Ready")))</f>
        <v/>
      </c>
      <c r="K60" s="83" t="n"/>
      <c r="L60" s="84" t="n"/>
      <c r="M60" s="118">
        <f>IF($C$9&lt;&gt;"",IF(OR(K60=1, K60=2),IF(K60=1,M$7-L60,$P$7-L60),""),"")</f>
        <v/>
      </c>
      <c r="N60" s="85" t="n"/>
      <c r="O60" s="85" t="n"/>
      <c r="P60" s="118">
        <f>IF(AND(K60&gt;0,M60&gt;0,OR(N60&gt;0,O60&gt;0)),(M60/((N60*60)+O60))*60,"")</f>
        <v/>
      </c>
      <c r="Q60" s="122">
        <f>IFERROR(IF(OR(K60=1, K60=2),IF(K60=1,M60/$M$7,M60/$P$7),""),"")</f>
        <v/>
      </c>
      <c r="R60" s="85" t="n"/>
      <c r="S60" s="85" t="n"/>
      <c r="T60" s="86" t="n"/>
      <c r="U60" s="87">
        <f>IF(J60&lt;&gt;"",IF(J60="Full Refresher","Low Emerging Reader",IF(AND(K60&gt;0,Q60&lt;&gt;""),IF(OR(Q60&lt;=25%,AND(Q60&gt;25%,Q60&lt;=50%, R60=0)),"High Emerging Reader",IF(OR(AND(Q60&gt;25%,Q60&lt;51%, R60&gt;=1),AND(Q60&gt;50%,Q60&lt;76%,R60&lt;=2)),"Developing Reader",IF(OR(AND(Q60&gt;=51%, Q60&lt;76%,R60&gt;=3),AND(Q60&gt;75%,R60&lt;=4)),"Transitioning Reader",IF(AND(Q60&gt;75%,R60&gt;=5),"Reading At Grade Level","")))),"")),"")</f>
        <v/>
      </c>
      <c r="V60" s="88" t="n"/>
      <c r="Y60" s="221">
        <f>IF(C60&lt;&gt;"",R60/6,"")</f>
        <v/>
      </c>
    </row>
    <row r="61">
      <c r="A61" s="5" t="n">
        <v>51</v>
      </c>
      <c r="B61" s="93" t="n"/>
      <c r="C61" s="89" t="n"/>
      <c r="D61" s="90" t="n"/>
      <c r="E61" s="91" t="n"/>
      <c r="F61" s="92" t="n"/>
      <c r="G61" s="67" t="n"/>
      <c r="H61" s="93" t="n"/>
      <c r="I61" s="81">
        <f>IF(AND(F61="",G61=""),"",IF(F61&lt;7,F61+G61,F61+10+H61))</f>
        <v/>
      </c>
      <c r="J61" s="82">
        <f>IF(I61="","",IF(F61&lt;7,IF(I61&lt;=10,"Full Refresher","Moderate Refresher"),IF(I61&lt;27,"Light Refresher","Grade Ready")))</f>
        <v/>
      </c>
      <c r="K61" s="94" t="n"/>
      <c r="L61" s="95" t="n"/>
      <c r="M61" s="118">
        <f>IF($C$9&lt;&gt;"",IF(OR(K61=1, K61=2),IF(K61=1,M$7-L61,$P$7-L61),""),"")</f>
        <v/>
      </c>
      <c r="N61" s="93" t="n"/>
      <c r="O61" s="93" t="n"/>
      <c r="P61" s="118">
        <f>IF(AND(K61&gt;0,M61&gt;0,OR(N61&gt;0,O61&gt;0)),(M61/((N61*60)+O61))*60,"")</f>
        <v/>
      </c>
      <c r="Q61" s="122">
        <f>IFERROR(IF(OR(K61=1, K61=2),IF(K61=1,M61/$M$7,M61/$P$7),""),"")</f>
        <v/>
      </c>
      <c r="R61" s="93" t="n"/>
      <c r="S61" s="93" t="n"/>
      <c r="T61" s="96" t="n"/>
      <c r="U61" s="87">
        <f>IF(J61&lt;&gt;"",IF(J61="Full Refresher","Low Emerging Reader",IF(AND(K61&gt;0,Q61&lt;&gt;""),IF(OR(Q61&lt;=25%,AND(Q61&gt;25%,Q61&lt;=50%, R61=0)),"High Emerging Reader",IF(OR(AND(Q61&gt;25%,Q61&lt;51%, R61&gt;=1),AND(Q61&gt;50%,Q61&lt;76%,R61&lt;=2)),"Developing Reader",IF(OR(AND(Q61&gt;=51%, Q61&lt;76%,R61&gt;=3),AND(Q61&gt;75%,R61&lt;=4)),"Transitioning Reader",IF(AND(Q61&gt;75%,R61&gt;=5),"Reading At Grade Level","")))),"")),"")</f>
        <v/>
      </c>
      <c r="V61" s="97" t="n"/>
      <c r="Y61" s="221">
        <f>IF(C61&lt;&gt;"",R61/6,"")</f>
        <v/>
      </c>
    </row>
    <row r="62">
      <c r="A62" s="4" t="n">
        <v>52</v>
      </c>
      <c r="B62" s="85" t="n"/>
      <c r="C62" s="76" t="n"/>
      <c r="D62" s="77" t="n"/>
      <c r="E62" s="78" t="n"/>
      <c r="F62" s="79" t="n"/>
      <c r="G62" s="80" t="n"/>
      <c r="H62" s="85" t="n"/>
      <c r="I62" s="81">
        <f>IF(AND(F62="",G62=""),"",IF(F62&lt;7,F62+G62,F62+10+H62))</f>
        <v/>
      </c>
      <c r="J62" s="82">
        <f>IF(I62="","",IF(F62&lt;7,IF(I62&lt;=10,"Full Refresher","Moderate Refresher"),IF(I62&lt;27,"Light Refresher","Grade Ready")))</f>
        <v/>
      </c>
      <c r="K62" s="83" t="n"/>
      <c r="L62" s="84" t="n"/>
      <c r="M62" s="118">
        <f>IF($C$9&lt;&gt;"",IF(OR(K62=1, K62=2),IF(K62=1,M$7-L62,$P$7-L62),""),"")</f>
        <v/>
      </c>
      <c r="N62" s="85" t="n"/>
      <c r="O62" s="85" t="n"/>
      <c r="P62" s="118">
        <f>IF(AND(K62&gt;0,M62&gt;0,OR(N62&gt;0,O62&gt;0)),(M62/((N62*60)+O62))*60,"")</f>
        <v/>
      </c>
      <c r="Q62" s="122">
        <f>IFERROR(IF(OR(K62=1, K62=2),IF(K62=1,M62/$M$7,M62/$P$7),""),"")</f>
        <v/>
      </c>
      <c r="R62" s="85" t="n"/>
      <c r="S62" s="85" t="n"/>
      <c r="T62" s="86" t="n"/>
      <c r="U62" s="87">
        <f>IF(J62&lt;&gt;"",IF(J62="Full Refresher","Low Emerging Reader",IF(AND(K62&gt;0,Q62&lt;&gt;""),IF(OR(Q62&lt;=25%,AND(Q62&gt;25%,Q62&lt;=50%, R62=0)),"High Emerging Reader",IF(OR(AND(Q62&gt;25%,Q62&lt;51%, R62&gt;=1),AND(Q62&gt;50%,Q62&lt;76%,R62&lt;=2)),"Developing Reader",IF(OR(AND(Q62&gt;=51%, Q62&lt;76%,R62&gt;=3),AND(Q62&gt;75%,R62&lt;=4)),"Transitioning Reader",IF(AND(Q62&gt;75%,R62&gt;=5),"Reading At Grade Level","")))),"")),"")</f>
        <v/>
      </c>
      <c r="V62" s="88" t="n"/>
      <c r="Y62" s="221">
        <f>IF(C62&lt;&gt;"",R62/6,"")</f>
        <v/>
      </c>
    </row>
    <row r="63">
      <c r="A63" s="5" t="n">
        <v>53</v>
      </c>
      <c r="B63" s="93" t="n"/>
      <c r="C63" s="89" t="n"/>
      <c r="D63" s="90" t="n"/>
      <c r="E63" s="91" t="n"/>
      <c r="F63" s="92" t="n"/>
      <c r="G63" s="67" t="n"/>
      <c r="H63" s="93" t="n"/>
      <c r="I63" s="81">
        <f>IF(AND(F63="",G63=""),"",IF(F63&lt;7,F63+G63,F63+10+H63))</f>
        <v/>
      </c>
      <c r="J63" s="82">
        <f>IF(I63="","",IF(F63&lt;7,IF(I63&lt;=10,"Full Refresher","Moderate Refresher"),IF(I63&lt;27,"Light Refresher","Grade Ready")))</f>
        <v/>
      </c>
      <c r="K63" s="94" t="n"/>
      <c r="L63" s="95" t="n"/>
      <c r="M63" s="118">
        <f>IF($C$9&lt;&gt;"",IF(OR(K63=1, K63=2),IF(K63=1,M$7-L63,$P$7-L63),""),"")</f>
        <v/>
      </c>
      <c r="N63" s="93" t="n"/>
      <c r="O63" s="93" t="n"/>
      <c r="P63" s="118">
        <f>IF(AND(K63&gt;0,M63&gt;0,OR(N63&gt;0,O63&gt;0)),(M63/((N63*60)+O63))*60,"")</f>
        <v/>
      </c>
      <c r="Q63" s="122">
        <f>IFERROR(IF(OR(K63=1, K63=2),IF(K63=1,M63/$M$7,M63/$P$7),""),"")</f>
        <v/>
      </c>
      <c r="R63" s="93" t="n"/>
      <c r="S63" s="93" t="n"/>
      <c r="T63" s="96" t="n"/>
      <c r="U63" s="87">
        <f>IF(J63&lt;&gt;"",IF(J63="Full Refresher","Low Emerging Reader",IF(AND(K63&gt;0,Q63&lt;&gt;""),IF(OR(Q63&lt;=25%,AND(Q63&gt;25%,Q63&lt;=50%, R63=0)),"High Emerging Reader",IF(OR(AND(Q63&gt;25%,Q63&lt;51%, R63&gt;=1),AND(Q63&gt;50%,Q63&lt;76%,R63&lt;=2)),"Developing Reader",IF(OR(AND(Q63&gt;=51%, Q63&lt;76%,R63&gt;=3),AND(Q63&gt;75%,R63&lt;=4)),"Transitioning Reader",IF(AND(Q63&gt;75%,R63&gt;=5),"Reading At Grade Level","")))),"")),"")</f>
        <v/>
      </c>
      <c r="V63" s="97" t="n"/>
      <c r="Y63" s="221">
        <f>IF(C63&lt;&gt;"",R63/6,"")</f>
        <v/>
      </c>
    </row>
    <row r="64">
      <c r="A64" s="4" t="n">
        <v>54</v>
      </c>
      <c r="B64" s="85" t="n"/>
      <c r="C64" s="76" t="n"/>
      <c r="D64" s="77" t="n"/>
      <c r="E64" s="78" t="n"/>
      <c r="F64" s="79" t="n"/>
      <c r="G64" s="80" t="n"/>
      <c r="H64" s="85" t="n"/>
      <c r="I64" s="81">
        <f>IF(AND(F64="",G64=""),"",IF(F64&lt;7,F64+G64,F64+10+H64))</f>
        <v/>
      </c>
      <c r="J64" s="82">
        <f>IF(I64="","",IF(F64&lt;7,IF(I64&lt;=10,"Full Refresher","Moderate Refresher"),IF(I64&lt;27,"Light Refresher","Grade Ready")))</f>
        <v/>
      </c>
      <c r="K64" s="83" t="n"/>
      <c r="L64" s="84" t="n"/>
      <c r="M64" s="118">
        <f>IF($C$9&lt;&gt;"",IF(OR(K64=1, K64=2),IF(K64=1,M$7-L64,$P$7-L64),""),"")</f>
        <v/>
      </c>
      <c r="N64" s="85" t="n"/>
      <c r="O64" s="85" t="n"/>
      <c r="P64" s="118">
        <f>IF(AND(K64&gt;0,M64&gt;0,OR(N64&gt;0,O64&gt;0)),(M64/((N64*60)+O64))*60,"")</f>
        <v/>
      </c>
      <c r="Q64" s="122">
        <f>IFERROR(IF(OR(K64=1, K64=2),IF(K64=1,M64/$M$7,M64/$P$7),""),"")</f>
        <v/>
      </c>
      <c r="R64" s="85" t="n"/>
      <c r="S64" s="85" t="n"/>
      <c r="T64" s="86" t="n"/>
      <c r="U64" s="87">
        <f>IF(J64&lt;&gt;"",IF(J64="Full Refresher","Low Emerging Reader",IF(AND(K64&gt;0,Q64&lt;&gt;""),IF(OR(Q64&lt;=25%,AND(Q64&gt;25%,Q64&lt;=50%, R64=0)),"High Emerging Reader",IF(OR(AND(Q64&gt;25%,Q64&lt;51%, R64&gt;=1),AND(Q64&gt;50%,Q64&lt;76%,R64&lt;=2)),"Developing Reader",IF(OR(AND(Q64&gt;=51%, Q64&lt;76%,R64&gt;=3),AND(Q64&gt;75%,R64&lt;=4)),"Transitioning Reader",IF(AND(Q64&gt;75%,R64&gt;=5),"Reading At Grade Level","")))),"")),"")</f>
        <v/>
      </c>
      <c r="V64" s="88" t="n"/>
      <c r="Y64" s="221">
        <f>IF(C64&lt;&gt;"",R64/6,"")</f>
        <v/>
      </c>
    </row>
    <row r="65">
      <c r="A65" s="5" t="n">
        <v>55</v>
      </c>
      <c r="B65" s="93" t="n"/>
      <c r="C65" s="89" t="n"/>
      <c r="D65" s="90" t="n"/>
      <c r="E65" s="91" t="n"/>
      <c r="F65" s="92" t="n"/>
      <c r="G65" s="67" t="n"/>
      <c r="H65" s="93" t="n"/>
      <c r="I65" s="81">
        <f>IF(AND(F65="",G65=""),"",IF(F65&lt;7,F65+G65,F65+10+H65))</f>
        <v/>
      </c>
      <c r="J65" s="82">
        <f>IF(I65="","",IF(F65&lt;7,IF(I65&lt;=10,"Full Refresher","Moderate Refresher"),IF(I65&lt;27,"Light Refresher","Grade Ready")))</f>
        <v/>
      </c>
      <c r="K65" s="94" t="n"/>
      <c r="L65" s="95" t="n"/>
      <c r="M65" s="118">
        <f>IF($C$9&lt;&gt;"",IF(OR(K65=1, K65=2),IF(K65=1,M$7-L65,$P$7-L65),""),"")</f>
        <v/>
      </c>
      <c r="N65" s="93" t="n"/>
      <c r="O65" s="93" t="n"/>
      <c r="P65" s="118">
        <f>IF(AND(K65&gt;0,M65&gt;0,OR(N65&gt;0,O65&gt;0)),(M65/((N65*60)+O65))*60,"")</f>
        <v/>
      </c>
      <c r="Q65" s="122">
        <f>IFERROR(IF(OR(K65=1, K65=2),IF(K65=1,M65/$M$7,M65/$P$7),""),"")</f>
        <v/>
      </c>
      <c r="R65" s="93" t="n"/>
      <c r="S65" s="93" t="n"/>
      <c r="T65" s="96" t="n"/>
      <c r="U65" s="87">
        <f>IF(J65&lt;&gt;"",IF(J65="Full Refresher","Low Emerging Reader",IF(AND(K65&gt;0,Q65&lt;&gt;""),IF(OR(Q65&lt;=25%,AND(Q65&gt;25%,Q65&lt;=50%, R65=0)),"High Emerging Reader",IF(OR(AND(Q65&gt;25%,Q65&lt;51%, R65&gt;=1),AND(Q65&gt;50%,Q65&lt;76%,R65&lt;=2)),"Developing Reader",IF(OR(AND(Q65&gt;=51%, Q65&lt;76%,R65&gt;=3),AND(Q65&gt;75%,R65&lt;=4)),"Transitioning Reader",IF(AND(Q65&gt;75%,R65&gt;=5),"Reading At Grade Level","")))),"")),"")</f>
        <v/>
      </c>
      <c r="V65" s="97" t="n"/>
      <c r="Y65" s="221">
        <f>IF(C65&lt;&gt;"",R65/6,"")</f>
        <v/>
      </c>
    </row>
    <row r="66">
      <c r="A66" s="4" t="n">
        <v>56</v>
      </c>
      <c r="B66" s="85" t="n"/>
      <c r="C66" s="76" t="n"/>
      <c r="D66" s="77" t="n"/>
      <c r="E66" s="78" t="n"/>
      <c r="F66" s="79" t="n"/>
      <c r="G66" s="80" t="n"/>
      <c r="H66" s="85" t="n"/>
      <c r="I66" s="81">
        <f>IF(AND(F66="",G66=""),"",IF(F66&lt;7,F66+G66,F66+10+H66))</f>
        <v/>
      </c>
      <c r="J66" s="82">
        <f>IF(I66="","",IF(F66&lt;7,IF(I66&lt;=10,"Full Refresher","Moderate Refresher"),IF(I66&lt;27,"Light Refresher","Grade Ready")))</f>
        <v/>
      </c>
      <c r="K66" s="83" t="n"/>
      <c r="L66" s="84" t="n"/>
      <c r="M66" s="118">
        <f>IF($C$9&lt;&gt;"",IF(OR(K66=1, K66=2),IF(K66=1,M$7-L66,$P$7-L66),""),"")</f>
        <v/>
      </c>
      <c r="N66" s="85" t="n"/>
      <c r="O66" s="85" t="n"/>
      <c r="P66" s="118">
        <f>IF(AND(K66&gt;0,M66&gt;0,OR(N66&gt;0,O66&gt;0)),(M66/((N66*60)+O66))*60,"")</f>
        <v/>
      </c>
      <c r="Q66" s="122">
        <f>IFERROR(IF(OR(K66=1, K66=2),IF(K66=1,M66/$M$7,M66/$P$7),""),"")</f>
        <v/>
      </c>
      <c r="R66" s="85" t="n"/>
      <c r="S66" s="85" t="n"/>
      <c r="T66" s="86" t="n"/>
      <c r="U66" s="87">
        <f>IF(J66&lt;&gt;"",IF(J66="Full Refresher","Low Emerging Reader",IF(AND(K66&gt;0,Q66&lt;&gt;""),IF(OR(Q66&lt;=25%,AND(Q66&gt;25%,Q66&lt;=50%, R66=0)),"High Emerging Reader",IF(OR(AND(Q66&gt;25%,Q66&lt;51%, R66&gt;=1),AND(Q66&gt;50%,Q66&lt;76%,R66&lt;=2)),"Developing Reader",IF(OR(AND(Q66&gt;=51%, Q66&lt;76%,R66&gt;=3),AND(Q66&gt;75%,R66&lt;=4)),"Transitioning Reader",IF(AND(Q66&gt;75%,R66&gt;=5),"Reading At Grade Level","")))),"")),"")</f>
        <v/>
      </c>
      <c r="V66" s="88" t="n"/>
      <c r="Y66" s="221">
        <f>IF(C66&lt;&gt;"",R66/6,"")</f>
        <v/>
      </c>
    </row>
    <row r="67">
      <c r="A67" s="5" t="n">
        <v>57</v>
      </c>
      <c r="B67" s="93" t="n"/>
      <c r="C67" s="89" t="n"/>
      <c r="D67" s="90" t="n"/>
      <c r="E67" s="91" t="n"/>
      <c r="F67" s="92" t="n"/>
      <c r="G67" s="67" t="n"/>
      <c r="H67" s="93" t="n"/>
      <c r="I67" s="81">
        <f>IF(AND(F67="",G67=""),"",IF(F67&lt;7,F67+G67,F67+10+H67))</f>
        <v/>
      </c>
      <c r="J67" s="82">
        <f>IF(I67="","",IF(F67&lt;7,IF(I67&lt;=10,"Full Refresher","Moderate Refresher"),IF(I67&lt;27,"Light Refresher","Grade Ready")))</f>
        <v/>
      </c>
      <c r="K67" s="94" t="n"/>
      <c r="L67" s="95" t="n"/>
      <c r="M67" s="118">
        <f>IF($C$9&lt;&gt;"",IF(OR(K67=1, K67=2),IF(K67=1,M$7-L67,$P$7-L67),""),"")</f>
        <v/>
      </c>
      <c r="N67" s="93" t="n"/>
      <c r="O67" s="93" t="n"/>
      <c r="P67" s="118">
        <f>IF(AND(K67&gt;0,M67&gt;0,OR(N67&gt;0,O67&gt;0)),(M67/((N67*60)+O67))*60,"")</f>
        <v/>
      </c>
      <c r="Q67" s="122">
        <f>IFERROR(IF(OR(K67=1, K67=2),IF(K67=1,M67/$M$7,M67/$P$7),""),"")</f>
        <v/>
      </c>
      <c r="R67" s="93" t="n"/>
      <c r="S67" s="93" t="n"/>
      <c r="T67" s="96" t="n"/>
      <c r="U67" s="87">
        <f>IF(J67&lt;&gt;"",IF(J67="Full Refresher","Low Emerging Reader",IF(AND(K67&gt;0,Q67&lt;&gt;""),IF(OR(Q67&lt;=25%,AND(Q67&gt;25%,Q67&lt;=50%, R67=0)),"High Emerging Reader",IF(OR(AND(Q67&gt;25%,Q67&lt;51%, R67&gt;=1),AND(Q67&gt;50%,Q67&lt;76%,R67&lt;=2)),"Developing Reader",IF(OR(AND(Q67&gt;=51%, Q67&lt;76%,R67&gt;=3),AND(Q67&gt;75%,R67&lt;=4)),"Transitioning Reader",IF(AND(Q67&gt;75%,R67&gt;=5),"Reading At Grade Level","")))),"")),"")</f>
        <v/>
      </c>
      <c r="V67" s="97" t="n"/>
      <c r="Y67" s="221">
        <f>IF(C67&lt;&gt;"",R67/6,"")</f>
        <v/>
      </c>
    </row>
    <row r="68">
      <c r="A68" s="4" t="n">
        <v>58</v>
      </c>
      <c r="B68" s="85" t="n"/>
      <c r="C68" s="76" t="n"/>
      <c r="D68" s="77" t="n"/>
      <c r="E68" s="78" t="n"/>
      <c r="F68" s="79" t="n"/>
      <c r="G68" s="80" t="n"/>
      <c r="H68" s="85" t="n"/>
      <c r="I68" s="81">
        <f>IF(AND(F68="",G68=""),"",IF(F68&lt;7,F68+G68,F68+10+H68))</f>
        <v/>
      </c>
      <c r="J68" s="82">
        <f>IF(I68="","",IF(F68&lt;7,IF(I68&lt;=10,"Full Refresher","Moderate Refresher"),IF(I68&lt;27,"Light Refresher","Grade Ready")))</f>
        <v/>
      </c>
      <c r="K68" s="83" t="n"/>
      <c r="L68" s="84" t="n"/>
      <c r="M68" s="118">
        <f>IF($C$9&lt;&gt;"",IF(OR(K68=1, K68=2),IF(K68=1,M$7-L68,$P$7-L68),""),"")</f>
        <v/>
      </c>
      <c r="N68" s="85" t="n"/>
      <c r="O68" s="85" t="n"/>
      <c r="P68" s="118">
        <f>IF(AND(K68&gt;0,M68&gt;0,OR(N68&gt;0,O68&gt;0)),(M68/((N68*60)+O68))*60,"")</f>
        <v/>
      </c>
      <c r="Q68" s="122">
        <f>IFERROR(IF(OR(K68=1, K68=2),IF(K68=1,M68/$M$7,M68/$P$7),""),"")</f>
        <v/>
      </c>
      <c r="R68" s="85" t="n"/>
      <c r="S68" s="85" t="n"/>
      <c r="T68" s="86" t="n"/>
      <c r="U68" s="87">
        <f>IF(J68&lt;&gt;"",IF(J68="Full Refresher","Low Emerging Reader",IF(AND(K68&gt;0,Q68&lt;&gt;""),IF(OR(Q68&lt;=25%,AND(Q68&gt;25%,Q68&lt;=50%, R68=0)),"High Emerging Reader",IF(OR(AND(Q68&gt;25%,Q68&lt;51%, R68&gt;=1),AND(Q68&gt;50%,Q68&lt;76%,R68&lt;=2)),"Developing Reader",IF(OR(AND(Q68&gt;=51%, Q68&lt;76%,R68&gt;=3),AND(Q68&gt;75%,R68&lt;=4)),"Transitioning Reader",IF(AND(Q68&gt;75%,R68&gt;=5),"Reading At Grade Level","")))),"")),"")</f>
        <v/>
      </c>
      <c r="V68" s="88" t="n"/>
      <c r="Y68" s="221">
        <f>IF(C68&lt;&gt;"",R68/6,"")</f>
        <v/>
      </c>
    </row>
    <row r="69">
      <c r="A69" s="5" t="n">
        <v>59</v>
      </c>
      <c r="B69" s="93" t="n"/>
      <c r="C69" s="89" t="n"/>
      <c r="D69" s="90" t="n"/>
      <c r="E69" s="91" t="n"/>
      <c r="F69" s="92" t="n"/>
      <c r="G69" s="67" t="n"/>
      <c r="H69" s="93" t="n"/>
      <c r="I69" s="81">
        <f>IF(AND(F69="",G69=""),"",IF(F69&lt;7,F69+G69,F69+10+H69))</f>
        <v/>
      </c>
      <c r="J69" s="82">
        <f>IF(I69="","",IF(F69&lt;7,IF(I69&lt;=10,"Full Refresher","Moderate Refresher"),IF(I69&lt;27,"Light Refresher","Grade Ready")))</f>
        <v/>
      </c>
      <c r="K69" s="94" t="n"/>
      <c r="L69" s="95" t="n"/>
      <c r="M69" s="118">
        <f>IF($C$9&lt;&gt;"",IF(OR(K69=1, K69=2),IF(K69=1,M$7-L69,$P$7-L69),""),"")</f>
        <v/>
      </c>
      <c r="N69" s="93" t="n"/>
      <c r="O69" s="93" t="n"/>
      <c r="P69" s="118">
        <f>IF(AND(K69&gt;0,M69&gt;0,OR(N69&gt;0,O69&gt;0)),(M69/((N69*60)+O69))*60,"")</f>
        <v/>
      </c>
      <c r="Q69" s="122">
        <f>IFERROR(IF(OR(K69=1, K69=2),IF(K69=1,M69/$M$7,M69/$P$7),""),"")</f>
        <v/>
      </c>
      <c r="R69" s="93" t="n"/>
      <c r="S69" s="93" t="n"/>
      <c r="T69" s="96" t="n"/>
      <c r="U69" s="87">
        <f>IF(J69&lt;&gt;"",IF(J69="Full Refresher","Low Emerging Reader",IF(AND(K69&gt;0,Q69&lt;&gt;""),IF(OR(Q69&lt;=25%,AND(Q69&gt;25%,Q69&lt;=50%, R69=0)),"High Emerging Reader",IF(OR(AND(Q69&gt;25%,Q69&lt;51%, R69&gt;=1),AND(Q69&gt;50%,Q69&lt;76%,R69&lt;=2)),"Developing Reader",IF(OR(AND(Q69&gt;=51%, Q69&lt;76%,R69&gt;=3),AND(Q69&gt;75%,R69&lt;=4)),"Transitioning Reader",IF(AND(Q69&gt;75%,R69&gt;=5),"Reading At Grade Level","")))),"")),"")</f>
        <v/>
      </c>
      <c r="V69" s="97" t="n"/>
      <c r="Y69" s="221">
        <f>IF(C69&lt;&gt;"",R69/6,"")</f>
        <v/>
      </c>
    </row>
    <row r="70">
      <c r="A70" s="5">
        <f>A69+1</f>
        <v/>
      </c>
      <c r="B70" s="93" t="n"/>
      <c r="C70" s="89" t="n"/>
      <c r="D70" s="90" t="n"/>
      <c r="E70" s="91" t="n"/>
      <c r="F70" s="92" t="n"/>
      <c r="G70" s="80" t="n"/>
      <c r="H70" s="85" t="n"/>
      <c r="I70" s="81">
        <f>IF(AND(F70="",G70=""),"",IF(F70&lt;7,F70+G70,F70+10+H70))</f>
        <v/>
      </c>
      <c r="J70" s="82">
        <f>IF(I70="","",IF(F70&lt;7,IF(I70&lt;=10,"Full Refresher","Moderate Refresher"),IF(I70&lt;27,"Light Refresher","Grade Ready")))</f>
        <v/>
      </c>
      <c r="K70" s="83" t="n"/>
      <c r="L70" s="84" t="n"/>
      <c r="M70" s="118">
        <f>IF($C$9&lt;&gt;"",IF(OR(K70=1, K70=2),IF(K70=1,M$7-L70,$P$7-L70),""),"")</f>
        <v/>
      </c>
      <c r="N70" s="85" t="n"/>
      <c r="O70" s="85" t="n"/>
      <c r="P70" s="118">
        <f>IF(AND(K70&gt;0,M70&gt;0,OR(N70&gt;0,O70&gt;0)),(M70/((N70*60)+O70))*60,"")</f>
        <v/>
      </c>
      <c r="Q70" s="122">
        <f>IFERROR(IF(OR(K70=1, K70=2),IF(K70=1,M70/$M$7,M70/$P$7),""),"")</f>
        <v/>
      </c>
      <c r="R70" s="85" t="n"/>
      <c r="S70" s="85" t="n"/>
      <c r="T70" s="86" t="n"/>
      <c r="U70" s="87">
        <f>IF(J70&lt;&gt;"",IF(J70="Full Refresher","Low Emerging Reader",IF(AND(K70&gt;0,Q70&lt;&gt;""),IF(OR(Q70&lt;=25%,AND(Q70&gt;25%,Q70&lt;=50%, R70=0)),"High Emerging Reader",IF(OR(AND(Q70&gt;25%,Q70&lt;51%, R70&gt;=1),AND(Q70&gt;50%,Q70&lt;76%,R70&lt;=2)),"Developing Reader",IF(OR(AND(Q70&gt;=51%, Q70&lt;76%,R70&gt;=3),AND(Q70&gt;75%,R70&lt;=4)),"Transitioning Reader",IF(AND(Q70&gt;75%,R70&gt;=5),"Reading At Grade Level","")))),"")),"")</f>
        <v/>
      </c>
      <c r="V70" s="88" t="n"/>
      <c r="Y70" s="221">
        <f>IF(C70&lt;&gt;"",R70/6,"")</f>
        <v/>
      </c>
    </row>
    <row r="71">
      <c r="A71" s="4">
        <f>A70+1</f>
        <v/>
      </c>
      <c r="B71" s="85" t="n"/>
      <c r="C71" s="76" t="n"/>
      <c r="D71" s="77" t="n"/>
      <c r="E71" s="78" t="n"/>
      <c r="F71" s="79" t="n"/>
      <c r="G71" s="67" t="n"/>
      <c r="H71" s="93" t="n"/>
      <c r="I71" s="81">
        <f>IF(AND(F71="",G71=""),"",IF(F71&lt;7,F71+G71,F71+10+H71))</f>
        <v/>
      </c>
      <c r="J71" s="82">
        <f>IF(I71="","",IF(F71&lt;7,IF(I71&lt;=10,"Full Refresher","Moderate Refresher"),IF(I71&lt;27,"Light Refresher","Grade Ready")))</f>
        <v/>
      </c>
      <c r="K71" s="94" t="n"/>
      <c r="L71" s="95" t="n"/>
      <c r="M71" s="118">
        <f>IF($C$9&lt;&gt;"",IF(OR(K71=1, K71=2),IF(K71=1,M$7-L71,$P$7-L71),""),"")</f>
        <v/>
      </c>
      <c r="N71" s="93" t="n"/>
      <c r="O71" s="93" t="n"/>
      <c r="P71" s="118">
        <f>IF(AND(K71&gt;0,M71&gt;0,OR(N71&gt;0,O71&gt;0)),(M71/((N71*60)+O71))*60,"")</f>
        <v/>
      </c>
      <c r="Q71" s="122">
        <f>IFERROR(IF(OR(K71=1, K71=2),IF(K71=1,M71/$M$7,M71/$P$7),""),"")</f>
        <v/>
      </c>
      <c r="R71" s="93" t="n"/>
      <c r="S71" s="93" t="n"/>
      <c r="T71" s="96" t="n"/>
      <c r="U71" s="87">
        <f>IF(J71&lt;&gt;"",IF(J71="Full Refresher","Low Emerging Reader",IF(AND(K71&gt;0,Q71&lt;&gt;""),IF(OR(Q71&lt;=25%,AND(Q71&gt;25%,Q71&lt;=50%, R71=0)),"High Emerging Reader",IF(OR(AND(Q71&gt;25%,Q71&lt;51%, R71&gt;=1),AND(Q71&gt;50%,Q71&lt;76%,R71&lt;=2)),"Developing Reader",IF(OR(AND(Q71&gt;=51%, Q71&lt;76%,R71&gt;=3),AND(Q71&gt;75%,R71&lt;=4)),"Transitioning Reader",IF(AND(Q71&gt;75%,R71&gt;=5),"Reading At Grade Level","")))),"")),"")</f>
        <v/>
      </c>
      <c r="V71" s="97" t="n"/>
      <c r="Y71" s="221">
        <f>IF(C71&lt;&gt;"",R71/6,"")</f>
        <v/>
      </c>
    </row>
    <row r="72">
      <c r="A72" s="5">
        <f>A71+1</f>
        <v/>
      </c>
      <c r="B72" s="93" t="n"/>
      <c r="C72" s="89" t="n"/>
      <c r="D72" s="90" t="n"/>
      <c r="E72" s="91" t="n"/>
      <c r="F72" s="92" t="n"/>
      <c r="G72" s="80" t="n"/>
      <c r="H72" s="85" t="n"/>
      <c r="I72" s="81">
        <f>IF(AND(F72="",G72=""),"",IF(F72&lt;7,F72+G72,F72+10+H72))</f>
        <v/>
      </c>
      <c r="J72" s="82">
        <f>IF(I72="","",IF(F72&lt;7,IF(I72&lt;=10,"Full Refresher","Moderate Refresher"),IF(I72&lt;27,"Light Refresher","Grade Ready")))</f>
        <v/>
      </c>
      <c r="K72" s="83" t="n"/>
      <c r="L72" s="84" t="n"/>
      <c r="M72" s="118">
        <f>IF($C$9&lt;&gt;"",IF(OR(K72=1, K72=2),IF(K72=1,M$7-L72,$P$7-L72),""),"")</f>
        <v/>
      </c>
      <c r="N72" s="85" t="n"/>
      <c r="O72" s="85" t="n"/>
      <c r="P72" s="118">
        <f>IF(AND(K72&gt;0,M72&gt;0,OR(N72&gt;0,O72&gt;0)),(M72/((N72*60)+O72))*60,"")</f>
        <v/>
      </c>
      <c r="Q72" s="122">
        <f>IFERROR(IF(OR(K72=1, K72=2),IF(K72=1,M72/$M$7,M72/$P$7),""),"")</f>
        <v/>
      </c>
      <c r="R72" s="85" t="n"/>
      <c r="S72" s="85" t="n"/>
      <c r="T72" s="86" t="n"/>
      <c r="U72" s="87">
        <f>IF(J72&lt;&gt;"",IF(J72="Full Refresher","Low Emerging Reader",IF(AND(K72&gt;0,Q72&lt;&gt;""),IF(OR(Q72&lt;=25%,AND(Q72&gt;25%,Q72&lt;=50%, R72=0)),"High Emerging Reader",IF(OR(AND(Q72&gt;25%,Q72&lt;51%, R72&gt;=1),AND(Q72&gt;50%,Q72&lt;76%,R72&lt;=2)),"Developing Reader",IF(OR(AND(Q72&gt;=51%, Q72&lt;76%,R72&gt;=3),AND(Q72&gt;75%,R72&lt;=4)),"Transitioning Reader",IF(AND(Q72&gt;75%,R72&gt;=5),"Reading At Grade Level","")))),"")),"")</f>
        <v/>
      </c>
      <c r="V72" s="88" t="n"/>
      <c r="Y72" s="221">
        <f>IF(C72&lt;&gt;"",R72/6,"")</f>
        <v/>
      </c>
    </row>
    <row r="73">
      <c r="A73" s="4">
        <f>A72+1</f>
        <v/>
      </c>
      <c r="B73" s="85" t="n"/>
      <c r="C73" s="76" t="n"/>
      <c r="D73" s="77" t="n"/>
      <c r="E73" s="78" t="n"/>
      <c r="F73" s="79" t="n"/>
      <c r="G73" s="67" t="n"/>
      <c r="H73" s="93" t="n"/>
      <c r="I73" s="81">
        <f>IF(AND(F73="",G73=""),"",IF(F73&lt;7,F73+G73,F73+10+H73))</f>
        <v/>
      </c>
      <c r="J73" s="82">
        <f>IF(I73="","",IF(F73&lt;7,IF(I73&lt;=10,"Full Refresher","Moderate Refresher"),IF(I73&lt;27,"Light Refresher","Grade Ready")))</f>
        <v/>
      </c>
      <c r="K73" s="94" t="n"/>
      <c r="L73" s="95" t="n"/>
      <c r="M73" s="118">
        <f>IF($C$9&lt;&gt;"",IF(OR(K73=1, K73=2),IF(K73=1,M$7-L73,$P$7-L73),""),"")</f>
        <v/>
      </c>
      <c r="N73" s="93" t="n"/>
      <c r="O73" s="93" t="n"/>
      <c r="P73" s="118">
        <f>IF(AND(K73&gt;0,M73&gt;0,OR(N73&gt;0,O73&gt;0)),(M73/((N73*60)+O73))*60,"")</f>
        <v/>
      </c>
      <c r="Q73" s="122">
        <f>IFERROR(IF(OR(K73=1, K73=2),IF(K73=1,M73/$M$7,M73/$P$7),""),"")</f>
        <v/>
      </c>
      <c r="R73" s="93" t="n"/>
      <c r="S73" s="93" t="n"/>
      <c r="T73" s="96" t="n"/>
      <c r="U73" s="87">
        <f>IF(J73&lt;&gt;"",IF(J73="Full Refresher","Low Emerging Reader",IF(AND(K73&gt;0,Q73&lt;&gt;""),IF(OR(Q73&lt;=25%,AND(Q73&gt;25%,Q73&lt;=50%, R73=0)),"High Emerging Reader",IF(OR(AND(Q73&gt;25%,Q73&lt;51%, R73&gt;=1),AND(Q73&gt;50%,Q73&lt;76%,R73&lt;=2)),"Developing Reader",IF(OR(AND(Q73&gt;=51%, Q73&lt;76%,R73&gt;=3),AND(Q73&gt;75%,R73&lt;=4)),"Transitioning Reader",IF(AND(Q73&gt;75%,R73&gt;=5),"Reading At Grade Level","")))),"")),"")</f>
        <v/>
      </c>
      <c r="V73" s="97" t="n"/>
      <c r="Y73" s="221">
        <f>IF(C73&lt;&gt;"",R73/6,"")</f>
        <v/>
      </c>
    </row>
    <row r="74">
      <c r="A74" s="5">
        <f>A73+1</f>
        <v/>
      </c>
      <c r="B74" s="93" t="n"/>
      <c r="C74" s="89" t="n"/>
      <c r="D74" s="90" t="n"/>
      <c r="E74" s="91" t="n"/>
      <c r="F74" s="92" t="n"/>
      <c r="G74" s="80" t="n"/>
      <c r="H74" s="85" t="n"/>
      <c r="I74" s="81">
        <f>IF(AND(F74="",G74=""),"",IF(F74&lt;7,F74+G74,F74+10+H74))</f>
        <v/>
      </c>
      <c r="J74" s="82">
        <f>IF(I74="","",IF(F74&lt;7,IF(I74&lt;=10,"Full Refresher","Moderate Refresher"),IF(I74&lt;27,"Light Refresher","Grade Ready")))</f>
        <v/>
      </c>
      <c r="K74" s="83" t="n"/>
      <c r="L74" s="84" t="n"/>
      <c r="M74" s="118">
        <f>IF($C$9&lt;&gt;"",IF(OR(K74=1, K74=2),IF(K74=1,M$7-L74,$P$7-L74),""),"")</f>
        <v/>
      </c>
      <c r="N74" s="85" t="n"/>
      <c r="O74" s="85" t="n"/>
      <c r="P74" s="118">
        <f>IF(AND(K74&gt;0,M74&gt;0,OR(N74&gt;0,O74&gt;0)),(M74/((N74*60)+O74))*60,"")</f>
        <v/>
      </c>
      <c r="Q74" s="122">
        <f>IFERROR(IF(OR(K74=1, K74=2),IF(K74=1,M74/$M$7,M74/$P$7),""),"")</f>
        <v/>
      </c>
      <c r="R74" s="85" t="n"/>
      <c r="S74" s="85" t="n"/>
      <c r="T74" s="86" t="n"/>
      <c r="U74" s="87">
        <f>IF(J74&lt;&gt;"",IF(J74="Full Refresher","Low Emerging Reader",IF(AND(K74&gt;0,Q74&lt;&gt;""),IF(OR(Q74&lt;=25%,AND(Q74&gt;25%,Q74&lt;=50%, R74=0)),"High Emerging Reader",IF(OR(AND(Q74&gt;25%,Q74&lt;51%, R74&gt;=1),AND(Q74&gt;50%,Q74&lt;76%,R74&lt;=2)),"Developing Reader",IF(OR(AND(Q74&gt;=51%, Q74&lt;76%,R74&gt;=3),AND(Q74&gt;75%,R74&lt;=4)),"Transitioning Reader",IF(AND(Q74&gt;75%,R74&gt;=5),"Reading At Grade Level","")))),"")),"")</f>
        <v/>
      </c>
      <c r="V74" s="88" t="n"/>
      <c r="Y74" s="221">
        <f>IF(C74&lt;&gt;"",R74/6,"")</f>
        <v/>
      </c>
    </row>
    <row r="75">
      <c r="A75" s="4">
        <f>A74+1</f>
        <v/>
      </c>
      <c r="B75" s="85" t="n"/>
      <c r="C75" s="76" t="n"/>
      <c r="D75" s="77" t="n"/>
      <c r="E75" s="78" t="n"/>
      <c r="F75" s="79" t="n"/>
      <c r="G75" s="67" t="n"/>
      <c r="H75" s="93" t="n"/>
      <c r="I75" s="81">
        <f>IF(AND(F75="",G75=""),"",IF(F75&lt;7,F75+G75,F75+10+H75))</f>
        <v/>
      </c>
      <c r="J75" s="82">
        <f>IF(I75="","",IF(F75&lt;7,IF(I75&lt;=10,"Full Refresher","Moderate Refresher"),IF(I75&lt;27,"Light Refresher","Grade Ready")))</f>
        <v/>
      </c>
      <c r="K75" s="94" t="n"/>
      <c r="L75" s="95" t="n"/>
      <c r="M75" s="118">
        <f>IF($C$9&lt;&gt;"",IF(OR(K75=1, K75=2),IF(K75=1,M$7-L75,$P$7-L75),""),"")</f>
        <v/>
      </c>
      <c r="N75" s="93" t="n"/>
      <c r="O75" s="93" t="n"/>
      <c r="P75" s="118">
        <f>IF(AND(K75&gt;0,M75&gt;0,OR(N75&gt;0,O75&gt;0)),(M75/((N75*60)+O75))*60,"")</f>
        <v/>
      </c>
      <c r="Q75" s="122">
        <f>IFERROR(IF(OR(K75=1, K75=2),IF(K75=1,M75/$M$7,M75/$P$7),""),"")</f>
        <v/>
      </c>
      <c r="R75" s="93" t="n"/>
      <c r="S75" s="93" t="n"/>
      <c r="T75" s="96" t="n"/>
      <c r="U75" s="87">
        <f>IF(J75&lt;&gt;"",IF(J75="Full Refresher","Low Emerging Reader",IF(AND(K75&gt;0,Q75&lt;&gt;""),IF(OR(Q75&lt;=25%,AND(Q75&gt;25%,Q75&lt;=50%, R75=0)),"High Emerging Reader",IF(OR(AND(Q75&gt;25%,Q75&lt;51%, R75&gt;=1),AND(Q75&gt;50%,Q75&lt;76%,R75&lt;=2)),"Developing Reader",IF(OR(AND(Q75&gt;=51%, Q75&lt;76%,R75&gt;=3),AND(Q75&gt;75%,R75&lt;=4)),"Transitioning Reader",IF(AND(Q75&gt;75%,R75&gt;=5),"Reading At Grade Level","")))),"")),"")</f>
        <v/>
      </c>
      <c r="V75" s="97" t="n"/>
      <c r="Y75" s="221">
        <f>IF(C75&lt;&gt;"",R75/6,"")</f>
        <v/>
      </c>
    </row>
    <row r="76">
      <c r="A76" s="5">
        <f>A75+1</f>
        <v/>
      </c>
      <c r="B76" s="93" t="n"/>
      <c r="C76" s="89" t="n"/>
      <c r="D76" s="90" t="n"/>
      <c r="E76" s="91" t="n"/>
      <c r="F76" s="92" t="n"/>
      <c r="G76" s="80" t="n"/>
      <c r="H76" s="85" t="n"/>
      <c r="I76" s="81">
        <f>IF(AND(F76="",G76=""),"",IF(F76&lt;7,F76+G76,F76+10+H76))</f>
        <v/>
      </c>
      <c r="J76" s="82">
        <f>IF(I76="","",IF(F76&lt;7,IF(I76&lt;=10,"Full Refresher","Moderate Refresher"),IF(I76&lt;27,"Light Refresher","Grade Ready")))</f>
        <v/>
      </c>
      <c r="K76" s="83" t="n"/>
      <c r="L76" s="84" t="n"/>
      <c r="M76" s="118">
        <f>IF($C$9&lt;&gt;"",IF(OR(K76=1, K76=2),IF(K76=1,M$7-L76,$P$7-L76),""),"")</f>
        <v/>
      </c>
      <c r="N76" s="85" t="n"/>
      <c r="O76" s="85" t="n"/>
      <c r="P76" s="118">
        <f>IF(AND(K76&gt;0,M76&gt;0,OR(N76&gt;0,O76&gt;0)),(M76/((N76*60)+O76))*60,"")</f>
        <v/>
      </c>
      <c r="Q76" s="122">
        <f>IFERROR(IF(OR(K76=1, K76=2),IF(K76=1,M76/$M$7,M76/$P$7),""),"")</f>
        <v/>
      </c>
      <c r="R76" s="85" t="n"/>
      <c r="S76" s="85" t="n"/>
      <c r="T76" s="86" t="n"/>
      <c r="U76" s="87">
        <f>IF(J76&lt;&gt;"",IF(J76="Full Refresher","Low Emerging Reader",IF(AND(K76&gt;0,Q76&lt;&gt;""),IF(OR(Q76&lt;=25%,AND(Q76&gt;25%,Q76&lt;=50%, R76=0)),"High Emerging Reader",IF(OR(AND(Q76&gt;25%,Q76&lt;51%, R76&gt;=1),AND(Q76&gt;50%,Q76&lt;76%,R76&lt;=2)),"Developing Reader",IF(OR(AND(Q76&gt;=51%, Q76&lt;76%,R76&gt;=3),AND(Q76&gt;75%,R76&lt;=4)),"Transitioning Reader",IF(AND(Q76&gt;75%,R76&gt;=5),"Reading At Grade Level","")))),"")),"")</f>
        <v/>
      </c>
      <c r="V76" s="88" t="n"/>
      <c r="Y76" s="221">
        <f>IF(C76&lt;&gt;"",R76/6,"")</f>
        <v/>
      </c>
    </row>
    <row r="77">
      <c r="A77" s="4">
        <f>A76+1</f>
        <v/>
      </c>
      <c r="B77" s="85" t="n"/>
      <c r="C77" s="76" t="n"/>
      <c r="D77" s="77" t="n"/>
      <c r="E77" s="78" t="n"/>
      <c r="F77" s="79" t="n"/>
      <c r="G77" s="67" t="n"/>
      <c r="H77" s="93" t="n"/>
      <c r="I77" s="81">
        <f>IF(AND(F77="",G77=""),"",IF(F77&lt;7,F77+G77,F77+10+H77))</f>
        <v/>
      </c>
      <c r="J77" s="82">
        <f>IF(I77="","",IF(F77&lt;7,IF(I77&lt;=10,"Full Refresher","Moderate Refresher"),IF(I77&lt;27,"Light Refresher","Grade Ready")))</f>
        <v/>
      </c>
      <c r="K77" s="94" t="n"/>
      <c r="L77" s="95" t="n"/>
      <c r="M77" s="118">
        <f>IF($C$9&lt;&gt;"",IF(OR(K77=1, K77=2),IF(K77=1,M$7-L77,$P$7-L77),""),"")</f>
        <v/>
      </c>
      <c r="N77" s="93" t="n"/>
      <c r="O77" s="93" t="n"/>
      <c r="P77" s="118">
        <f>IF(AND(K77&gt;0,M77&gt;0,OR(N77&gt;0,O77&gt;0)),(M77/((N77*60)+O77))*60,"")</f>
        <v/>
      </c>
      <c r="Q77" s="122">
        <f>IFERROR(IF(OR(K77=1, K77=2),IF(K77=1,M77/$M$7,M77/$P$7),""),"")</f>
        <v/>
      </c>
      <c r="R77" s="93" t="n"/>
      <c r="S77" s="93" t="n"/>
      <c r="T77" s="96" t="n"/>
      <c r="U77" s="87">
        <f>IF(J77&lt;&gt;"",IF(J77="Full Refresher","Low Emerging Reader",IF(AND(K77&gt;0,Q77&lt;&gt;""),IF(OR(Q77&lt;=25%,AND(Q77&gt;25%,Q77&lt;=50%, R77=0)),"High Emerging Reader",IF(OR(AND(Q77&gt;25%,Q77&lt;51%, R77&gt;=1),AND(Q77&gt;50%,Q77&lt;76%,R77&lt;=2)),"Developing Reader",IF(OR(AND(Q77&gt;=51%, Q77&lt;76%,R77&gt;=3),AND(Q77&gt;75%,R77&lt;=4)),"Transitioning Reader",IF(AND(Q77&gt;75%,R77&gt;=5),"Reading At Grade Level","")))),"")),"")</f>
        <v/>
      </c>
      <c r="V77" s="97" t="n"/>
      <c r="Y77" s="221">
        <f>IF(C77&lt;&gt;"",R77/6,"")</f>
        <v/>
      </c>
    </row>
    <row r="78">
      <c r="A78" s="5">
        <f>A77+1</f>
        <v/>
      </c>
      <c r="B78" s="93" t="n"/>
      <c r="C78" s="89" t="n"/>
      <c r="D78" s="90" t="n"/>
      <c r="E78" s="91" t="n"/>
      <c r="F78" s="92" t="n"/>
      <c r="G78" s="80" t="n"/>
      <c r="H78" s="85" t="n"/>
      <c r="I78" s="81">
        <f>IF(AND(F78="",G78=""),"",IF(F78&lt;7,F78+G78,F78+10+H78))</f>
        <v/>
      </c>
      <c r="J78" s="82">
        <f>IF(I78="","",IF(F78&lt;7,IF(I78&lt;=10,"Full Refresher","Moderate Refresher"),IF(I78&lt;27,"Light Refresher","Grade Ready")))</f>
        <v/>
      </c>
      <c r="K78" s="83" t="n"/>
      <c r="L78" s="84" t="n"/>
      <c r="M78" s="118">
        <f>IF($C$9&lt;&gt;"",IF(OR(K78=1, K78=2),IF(K78=1,M$7-L78,$P$7-L78),""),"")</f>
        <v/>
      </c>
      <c r="N78" s="85" t="n"/>
      <c r="O78" s="85" t="n"/>
      <c r="P78" s="118">
        <f>IF(AND(K78&gt;0,M78&gt;0,OR(N78&gt;0,O78&gt;0)),(M78/((N78*60)+O78))*60,"")</f>
        <v/>
      </c>
      <c r="Q78" s="122">
        <f>IFERROR(IF(OR(K78=1, K78=2),IF(K78=1,M78/$M$7,M78/$P$7),""),"")</f>
        <v/>
      </c>
      <c r="R78" s="85" t="n"/>
      <c r="S78" s="85" t="n"/>
      <c r="T78" s="86" t="n"/>
      <c r="U78" s="87">
        <f>IF(J78&lt;&gt;"",IF(J78="Full Refresher","Low Emerging Reader",IF(AND(K78&gt;0,Q78&lt;&gt;""),IF(OR(Q78&lt;=25%,AND(Q78&gt;25%,Q78&lt;=50%, R78=0)),"High Emerging Reader",IF(OR(AND(Q78&gt;25%,Q78&lt;51%, R78&gt;=1),AND(Q78&gt;50%,Q78&lt;76%,R78&lt;=2)),"Developing Reader",IF(OR(AND(Q78&gt;=51%, Q78&lt;76%,R78&gt;=3),AND(Q78&gt;75%,R78&lt;=4)),"Transitioning Reader",IF(AND(Q78&gt;75%,R78&gt;=5),"Reading At Grade Level","")))),"")),"")</f>
        <v/>
      </c>
      <c r="V78" s="88" t="n"/>
      <c r="Y78" s="221">
        <f>IF(C78&lt;&gt;"",R78/6,"")</f>
        <v/>
      </c>
    </row>
    <row r="79">
      <c r="A79" s="4">
        <f>A78+1</f>
        <v/>
      </c>
      <c r="B79" s="85" t="n"/>
      <c r="C79" s="76" t="n"/>
      <c r="D79" s="77" t="n"/>
      <c r="E79" s="78" t="n"/>
      <c r="F79" s="79" t="n"/>
      <c r="G79" s="67" t="n"/>
      <c r="H79" s="93" t="n"/>
      <c r="I79" s="81">
        <f>IF(AND(F79="",G79=""),"",IF(F79&lt;7,F79+G79,F79+10+H79))</f>
        <v/>
      </c>
      <c r="J79" s="82">
        <f>IF(I79="","",IF(F79&lt;7,IF(I79&lt;=10,"Full Refresher","Moderate Refresher"),IF(I79&lt;27,"Light Refresher","Grade Ready")))</f>
        <v/>
      </c>
      <c r="K79" s="94" t="n"/>
      <c r="L79" s="95" t="n"/>
      <c r="M79" s="118">
        <f>IF($C$9&lt;&gt;"",IF(OR(K79=1, K79=2),IF(K79=1,M$7-L79,$P$7-L79),""),"")</f>
        <v/>
      </c>
      <c r="N79" s="93" t="n"/>
      <c r="O79" s="93" t="n"/>
      <c r="P79" s="118">
        <f>IF(AND(K79&gt;0,M79&gt;0,OR(N79&gt;0,O79&gt;0)),(M79/((N79*60)+O79))*60,"")</f>
        <v/>
      </c>
      <c r="Q79" s="122">
        <f>IFERROR(IF(OR(K79=1, K79=2),IF(K79=1,M79/$M$7,M79/$P$7),""),"")</f>
        <v/>
      </c>
      <c r="R79" s="93" t="n"/>
      <c r="S79" s="93" t="n"/>
      <c r="T79" s="96" t="n"/>
      <c r="U79" s="87">
        <f>IF(J79&lt;&gt;"",IF(J79="Full Refresher","Low Emerging Reader",IF(AND(K79&gt;0,Q79&lt;&gt;""),IF(OR(Q79&lt;=25%,AND(Q79&gt;25%,Q79&lt;=50%, R79=0)),"High Emerging Reader",IF(OR(AND(Q79&gt;25%,Q79&lt;51%, R79&gt;=1),AND(Q79&gt;50%,Q79&lt;76%,R79&lt;=2)),"Developing Reader",IF(OR(AND(Q79&gt;=51%, Q79&lt;76%,R79&gt;=3),AND(Q79&gt;75%,R79&lt;=4)),"Transitioning Reader",IF(AND(Q79&gt;75%,R79&gt;=5),"Reading At Grade Level","")))),"")),"")</f>
        <v/>
      </c>
      <c r="V79" s="97" t="n"/>
      <c r="Y79" s="221">
        <f>IF(C79&lt;&gt;"",R79/6,"")</f>
        <v/>
      </c>
    </row>
    <row r="80">
      <c r="A80" s="5">
        <f>A79+1</f>
        <v/>
      </c>
      <c r="B80" s="93" t="n"/>
      <c r="C80" s="89" t="n"/>
      <c r="D80" s="90" t="n"/>
      <c r="E80" s="91" t="n"/>
      <c r="F80" s="92" t="n"/>
      <c r="G80" s="80" t="n"/>
      <c r="H80" s="85" t="n"/>
      <c r="I80" s="81">
        <f>IF(AND(F80="",G80=""),"",IF(F80&lt;7,F80+G80,F80+10+H80))</f>
        <v/>
      </c>
      <c r="J80" s="82">
        <f>IF(I80="","",IF(F80&lt;7,IF(I80&lt;=10,"Full Refresher","Moderate Refresher"),IF(I80&lt;27,"Light Refresher","Grade Ready")))</f>
        <v/>
      </c>
      <c r="K80" s="83" t="n"/>
      <c r="L80" s="84" t="n"/>
      <c r="M80" s="118">
        <f>IF($C$9&lt;&gt;"",IF(OR(K80=1, K80=2),IF(K80=1,M$7-L80,$P$7-L80),""),"")</f>
        <v/>
      </c>
      <c r="N80" s="85" t="n"/>
      <c r="O80" s="85" t="n"/>
      <c r="P80" s="118">
        <f>IF(AND(K80&gt;0,M80&gt;0,OR(N80&gt;0,O80&gt;0)),(M80/((N80*60)+O80))*60,"")</f>
        <v/>
      </c>
      <c r="Q80" s="122">
        <f>IFERROR(IF(OR(K80=1, K80=2),IF(K80=1,M80/$M$7,M80/$P$7),""),"")</f>
        <v/>
      </c>
      <c r="R80" s="85" t="n"/>
      <c r="S80" s="85" t="n"/>
      <c r="T80" s="86" t="n"/>
      <c r="U80" s="87">
        <f>IF(J80&lt;&gt;"",IF(J80="Full Refresher","Low Emerging Reader",IF(AND(K80&gt;0,Q80&lt;&gt;""),IF(OR(Q80&lt;=25%,AND(Q80&gt;25%,Q80&lt;=50%, R80=0)),"High Emerging Reader",IF(OR(AND(Q80&gt;25%,Q80&lt;51%, R80&gt;=1),AND(Q80&gt;50%,Q80&lt;76%,R80&lt;=2)),"Developing Reader",IF(OR(AND(Q80&gt;=51%, Q80&lt;76%,R80&gt;=3),AND(Q80&gt;75%,R80&lt;=4)),"Transitioning Reader",IF(AND(Q80&gt;75%,R80&gt;=5),"Reading At Grade Level","")))),"")),"")</f>
        <v/>
      </c>
      <c r="V80" s="88" t="n"/>
      <c r="Y80" s="221">
        <f>IF(C80&lt;&gt;"",R80/6,"")</f>
        <v/>
      </c>
    </row>
    <row r="81">
      <c r="A81" s="4">
        <f>A80+1</f>
        <v/>
      </c>
      <c r="B81" s="85" t="n"/>
      <c r="C81" s="76" t="n"/>
      <c r="D81" s="77" t="n"/>
      <c r="E81" s="78" t="n"/>
      <c r="F81" s="79" t="n"/>
      <c r="G81" s="67" t="n"/>
      <c r="H81" s="93" t="n"/>
      <c r="I81" s="81">
        <f>IF(AND(F81="",G81=""),"",IF(F81&lt;7,F81+G81,F81+10+H81))</f>
        <v/>
      </c>
      <c r="J81" s="82">
        <f>IF(I81="","",IF(F81&lt;7,IF(I81&lt;=10,"Full Refresher","Moderate Refresher"),IF(I81&lt;27,"Light Refresher","Grade Ready")))</f>
        <v/>
      </c>
      <c r="K81" s="94" t="n"/>
      <c r="L81" s="95" t="n"/>
      <c r="M81" s="118">
        <f>IF($C$9&lt;&gt;"",IF(OR(K81=1, K81=2),IF(K81=1,M$7-L81,$P$7-L81),""),"")</f>
        <v/>
      </c>
      <c r="N81" s="93" t="n"/>
      <c r="O81" s="93" t="n"/>
      <c r="P81" s="118">
        <f>IF(AND(K81&gt;0,M81&gt;0,OR(N81&gt;0,O81&gt;0)),(M81/((N81*60)+O81))*60,"")</f>
        <v/>
      </c>
      <c r="Q81" s="122">
        <f>IFERROR(IF(OR(K81=1, K81=2),IF(K81=1,M81/$M$7,M81/$P$7),""),"")</f>
        <v/>
      </c>
      <c r="R81" s="93" t="n"/>
      <c r="S81" s="93" t="n"/>
      <c r="T81" s="96" t="n"/>
      <c r="U81" s="87">
        <f>IF(J81&lt;&gt;"",IF(J81="Full Refresher","Low Emerging Reader",IF(AND(K81&gt;0,Q81&lt;&gt;""),IF(OR(Q81&lt;=25%,AND(Q81&gt;25%,Q81&lt;=50%, R81=0)),"High Emerging Reader",IF(OR(AND(Q81&gt;25%,Q81&lt;51%, R81&gt;=1),AND(Q81&gt;50%,Q81&lt;76%,R81&lt;=2)),"Developing Reader",IF(OR(AND(Q81&gt;=51%, Q81&lt;76%,R81&gt;=3),AND(Q81&gt;75%,R81&lt;=4)),"Transitioning Reader",IF(AND(Q81&gt;75%,R81&gt;=5),"Reading At Grade Level","")))),"")),"")</f>
        <v/>
      </c>
      <c r="V81" s="97" t="n"/>
      <c r="Y81" s="221">
        <f>IF(C81&lt;&gt;"",R81/6,"")</f>
        <v/>
      </c>
    </row>
    <row r="82">
      <c r="A82" s="5">
        <f>A81+1</f>
        <v/>
      </c>
      <c r="B82" s="93" t="n"/>
      <c r="C82" s="89" t="n"/>
      <c r="D82" s="90" t="n"/>
      <c r="E82" s="91" t="n"/>
      <c r="F82" s="92" t="n"/>
      <c r="G82" s="80" t="n"/>
      <c r="H82" s="85" t="n"/>
      <c r="I82" s="81">
        <f>IF(AND(F82="",G82=""),"",IF(F82&lt;7,F82+G82,F82+10+H82))</f>
        <v/>
      </c>
      <c r="J82" s="82">
        <f>IF(I82="","",IF(F82&lt;7,IF(I82&lt;=10,"Full Refresher","Moderate Refresher"),IF(I82&lt;27,"Light Refresher","Grade Ready")))</f>
        <v/>
      </c>
      <c r="K82" s="83" t="n"/>
      <c r="L82" s="84" t="n"/>
      <c r="M82" s="118">
        <f>IF($C$9&lt;&gt;"",IF(OR(K82=1, K82=2),IF(K82=1,M$7-L82,$P$7-L82),""),"")</f>
        <v/>
      </c>
      <c r="N82" s="85" t="n"/>
      <c r="O82" s="85" t="n"/>
      <c r="P82" s="118">
        <f>IF(AND(K82&gt;0,M82&gt;0,OR(N82&gt;0,O82&gt;0)),(M82/((N82*60)+O82))*60,"")</f>
        <v/>
      </c>
      <c r="Q82" s="122">
        <f>IFERROR(IF(OR(K82=1, K82=2),IF(K82=1,M82/$M$7,M82/$P$7),""),"")</f>
        <v/>
      </c>
      <c r="R82" s="85" t="n"/>
      <c r="S82" s="85" t="n"/>
      <c r="T82" s="86" t="n"/>
      <c r="U82" s="87">
        <f>IF(J82&lt;&gt;"",IF(J82="Full Refresher","Low Emerging Reader",IF(AND(K82&gt;0,Q82&lt;&gt;""),IF(OR(Q82&lt;=25%,AND(Q82&gt;25%,Q82&lt;=50%, R82=0)),"High Emerging Reader",IF(OR(AND(Q82&gt;25%,Q82&lt;51%, R82&gt;=1),AND(Q82&gt;50%,Q82&lt;76%,R82&lt;=2)),"Developing Reader",IF(OR(AND(Q82&gt;=51%, Q82&lt;76%,R82&gt;=3),AND(Q82&gt;75%,R82&lt;=4)),"Transitioning Reader",IF(AND(Q82&gt;75%,R82&gt;=5),"Reading At Grade Level","")))),"")),"")</f>
        <v/>
      </c>
      <c r="V82" s="88" t="n"/>
      <c r="Y82" s="221">
        <f>IF(C82&lt;&gt;"",R82/6,"")</f>
        <v/>
      </c>
    </row>
    <row r="83">
      <c r="A83" s="4">
        <f>A82+1</f>
        <v/>
      </c>
      <c r="B83" s="85" t="n"/>
      <c r="C83" s="76" t="n"/>
      <c r="D83" s="77" t="n"/>
      <c r="E83" s="78" t="n"/>
      <c r="F83" s="79" t="n"/>
      <c r="G83" s="67" t="n"/>
      <c r="H83" s="93" t="n"/>
      <c r="I83" s="81">
        <f>IF(AND(F83="",G83=""),"",IF(F83&lt;7,F83+G83,F83+10+H83))</f>
        <v/>
      </c>
      <c r="J83" s="82">
        <f>IF(I83="","",IF(F83&lt;7,IF(I83&lt;=10,"Full Refresher","Moderate Refresher"),IF(I83&lt;27,"Light Refresher","Grade Ready")))</f>
        <v/>
      </c>
      <c r="K83" s="94" t="n"/>
      <c r="L83" s="95" t="n"/>
      <c r="M83" s="118">
        <f>IF($C$9&lt;&gt;"",IF(OR(K83=1, K83=2),IF(K83=1,M$7-L83,$P$7-L83),""),"")</f>
        <v/>
      </c>
      <c r="N83" s="93" t="n"/>
      <c r="O83" s="93" t="n"/>
      <c r="P83" s="118">
        <f>IF(AND(K83&gt;0,M83&gt;0,OR(N83&gt;0,O83&gt;0)),(M83/((N83*60)+O83))*60,"")</f>
        <v/>
      </c>
      <c r="Q83" s="122">
        <f>IFERROR(IF(OR(K83=1, K83=2),IF(K83=1,M83/$M$7,M83/$P$7),""),"")</f>
        <v/>
      </c>
      <c r="R83" s="93" t="n"/>
      <c r="S83" s="93" t="n"/>
      <c r="T83" s="96" t="n"/>
      <c r="U83" s="87">
        <f>IF(J83&lt;&gt;"",IF(J83="Full Refresher","Low Emerging Reader",IF(AND(K83&gt;0,Q83&lt;&gt;""),IF(OR(Q83&lt;=25%,AND(Q83&gt;25%,Q83&lt;=50%, R83=0)),"High Emerging Reader",IF(OR(AND(Q83&gt;25%,Q83&lt;51%, R83&gt;=1),AND(Q83&gt;50%,Q83&lt;76%,R83&lt;=2)),"Developing Reader",IF(OR(AND(Q83&gt;=51%, Q83&lt;76%,R83&gt;=3),AND(Q83&gt;75%,R83&lt;=4)),"Transitioning Reader",IF(AND(Q83&gt;75%,R83&gt;=5),"Reading At Grade Level","")))),"")),"")</f>
        <v/>
      </c>
      <c r="V83" s="97" t="n"/>
      <c r="Y83" s="221">
        <f>IF(C83&lt;&gt;"",R83/6,"")</f>
        <v/>
      </c>
    </row>
    <row r="84">
      <c r="A84" s="5">
        <f>A83+1</f>
        <v/>
      </c>
      <c r="B84" s="93" t="n"/>
      <c r="C84" s="89" t="n"/>
      <c r="D84" s="90" t="n"/>
      <c r="E84" s="91" t="n"/>
      <c r="F84" s="92" t="n"/>
      <c r="G84" s="80" t="n"/>
      <c r="H84" s="85" t="n"/>
      <c r="I84" s="81">
        <f>IF(AND(F84="",G84=""),"",IF(F84&lt;7,F84+G84,F84+10+H84))</f>
        <v/>
      </c>
      <c r="J84" s="82">
        <f>IF(I84="","",IF(F84&lt;7,IF(I84&lt;=10,"Full Refresher","Moderate Refresher"),IF(I84&lt;27,"Light Refresher","Grade Ready")))</f>
        <v/>
      </c>
      <c r="K84" s="83" t="n"/>
      <c r="L84" s="84" t="n"/>
      <c r="M84" s="118">
        <f>IF($C$9&lt;&gt;"",IF(OR(K84=1, K84=2),IF(K84=1,M$7-L84,$P$7-L84),""),"")</f>
        <v/>
      </c>
      <c r="N84" s="85" t="n"/>
      <c r="O84" s="85" t="n"/>
      <c r="P84" s="118">
        <f>IF(AND(K84&gt;0,M84&gt;0,OR(N84&gt;0,O84&gt;0)),(M84/((N84*60)+O84))*60,"")</f>
        <v/>
      </c>
      <c r="Q84" s="122">
        <f>IFERROR(IF(OR(K84=1, K84=2),IF(K84=1,M84/$M$7,M84/$P$7),""),"")</f>
        <v/>
      </c>
      <c r="R84" s="85" t="n"/>
      <c r="S84" s="85" t="n"/>
      <c r="T84" s="86" t="n"/>
      <c r="U84" s="87">
        <f>IF(J84&lt;&gt;"",IF(J84="Full Refresher","Low Emerging Reader",IF(AND(K84&gt;0,Q84&lt;&gt;""),IF(OR(Q84&lt;=25%,AND(Q84&gt;25%,Q84&lt;=50%, R84=0)),"High Emerging Reader",IF(OR(AND(Q84&gt;25%,Q84&lt;51%, R84&gt;=1),AND(Q84&gt;50%,Q84&lt;76%,R84&lt;=2)),"Developing Reader",IF(OR(AND(Q84&gt;=51%, Q84&lt;76%,R84&gt;=3),AND(Q84&gt;75%,R84&lt;=4)),"Transitioning Reader",IF(AND(Q84&gt;75%,R84&gt;=5),"Reading At Grade Level","")))),"")),"")</f>
        <v/>
      </c>
      <c r="V84" s="88" t="n"/>
      <c r="Y84" s="221">
        <f>IF(C84&lt;&gt;"",R84/6,"")</f>
        <v/>
      </c>
    </row>
    <row r="85">
      <c r="A85" s="4">
        <f>A84+1</f>
        <v/>
      </c>
      <c r="B85" s="85" t="n"/>
      <c r="C85" s="76" t="n"/>
      <c r="D85" s="77" t="n"/>
      <c r="E85" s="78" t="n"/>
      <c r="F85" s="79" t="n"/>
      <c r="G85" s="67" t="n"/>
      <c r="H85" s="93" t="n"/>
      <c r="I85" s="81">
        <f>IF(AND(F85="",G85=""),"",IF(F85&lt;7,F85+G85,F85+10+H85))</f>
        <v/>
      </c>
      <c r="J85" s="82">
        <f>IF(I85="","",IF(F85&lt;7,IF(I85&lt;=10,"Full Refresher","Moderate Refresher"),IF(I85&lt;27,"Light Refresher","Grade Ready")))</f>
        <v/>
      </c>
      <c r="K85" s="94" t="n"/>
      <c r="L85" s="95" t="n"/>
      <c r="M85" s="118">
        <f>IF($C$9&lt;&gt;"",IF(OR(K85=1, K85=2),IF(K85=1,M$7-L85,$P$7-L85),""),"")</f>
        <v/>
      </c>
      <c r="N85" s="93" t="n"/>
      <c r="O85" s="93" t="n"/>
      <c r="P85" s="118">
        <f>IF(AND(K85&gt;0,M85&gt;0,OR(N85&gt;0,O85&gt;0)),(M85/((N85*60)+O85))*60,"")</f>
        <v/>
      </c>
      <c r="Q85" s="122">
        <f>IFERROR(IF(OR(K85=1, K85=2),IF(K85=1,M85/$M$7,M85/$P$7),""),"")</f>
        <v/>
      </c>
      <c r="R85" s="93" t="n"/>
      <c r="S85" s="93" t="n"/>
      <c r="T85" s="96" t="n"/>
      <c r="U85" s="87">
        <f>IF(J85&lt;&gt;"",IF(J85="Full Refresher","Low Emerging Reader",IF(AND(K85&gt;0,Q85&lt;&gt;""),IF(OR(Q85&lt;=25%,AND(Q85&gt;25%,Q85&lt;=50%, R85=0)),"High Emerging Reader",IF(OR(AND(Q85&gt;25%,Q85&lt;51%, R85&gt;=1),AND(Q85&gt;50%,Q85&lt;76%,R85&lt;=2)),"Developing Reader",IF(OR(AND(Q85&gt;=51%, Q85&lt;76%,R85&gt;=3),AND(Q85&gt;75%,R85&lt;=4)),"Transitioning Reader",IF(AND(Q85&gt;75%,R85&gt;=5),"Reading At Grade Level","")))),"")),"")</f>
        <v/>
      </c>
      <c r="V85" s="97" t="n"/>
      <c r="Y85" s="221">
        <f>IF(C85&lt;&gt;"",R85/6,"")</f>
        <v/>
      </c>
    </row>
    <row r="86">
      <c r="A86" s="5">
        <f>A85+1</f>
        <v/>
      </c>
      <c r="B86" s="93" t="n"/>
      <c r="C86" s="89" t="n"/>
      <c r="D86" s="90" t="n"/>
      <c r="E86" s="91" t="n"/>
      <c r="F86" s="92" t="n"/>
      <c r="G86" s="80" t="n"/>
      <c r="H86" s="85" t="n"/>
      <c r="I86" s="81">
        <f>IF(AND(F86="",G86=""),"",IF(F86&lt;7,F86+G86,F86+10+H86))</f>
        <v/>
      </c>
      <c r="J86" s="82">
        <f>IF(I86="","",IF(F86&lt;7,IF(I86&lt;=10,"Full Refresher","Moderate Refresher"),IF(I86&lt;27,"Light Refresher","Grade Ready")))</f>
        <v/>
      </c>
      <c r="K86" s="83" t="n"/>
      <c r="L86" s="84" t="n"/>
      <c r="M86" s="118">
        <f>IF($C$9&lt;&gt;"",IF(OR(K86=1, K86=2),IF(K86=1,M$7-L86,$P$7-L86),""),"")</f>
        <v/>
      </c>
      <c r="N86" s="85" t="n"/>
      <c r="O86" s="85" t="n"/>
      <c r="P86" s="118">
        <f>IF(AND(K86&gt;0,M86&gt;0,OR(N86&gt;0,O86&gt;0)),(M86/((N86*60)+O86))*60,"")</f>
        <v/>
      </c>
      <c r="Q86" s="122">
        <f>IFERROR(IF(OR(K86=1, K86=2),IF(K86=1,M86/$M$7,M86/$P$7),""),"")</f>
        <v/>
      </c>
      <c r="R86" s="85" t="n"/>
      <c r="S86" s="85" t="n"/>
      <c r="T86" s="86" t="n"/>
      <c r="U86" s="87">
        <f>IF(J86&lt;&gt;"",IF(J86="Full Refresher","Low Emerging Reader",IF(AND(K86&gt;0,Q86&lt;&gt;""),IF(OR(Q86&lt;=25%,AND(Q86&gt;25%,Q86&lt;=50%, R86=0)),"High Emerging Reader",IF(OR(AND(Q86&gt;25%,Q86&lt;51%, R86&gt;=1),AND(Q86&gt;50%,Q86&lt;76%,R86&lt;=2)),"Developing Reader",IF(OR(AND(Q86&gt;=51%, Q86&lt;76%,R86&gt;=3),AND(Q86&gt;75%,R86&lt;=4)),"Transitioning Reader",IF(AND(Q86&gt;75%,R86&gt;=5),"Reading At Grade Level","")))),"")),"")</f>
        <v/>
      </c>
      <c r="V86" s="88" t="n"/>
      <c r="Y86" s="221">
        <f>IF(C86&lt;&gt;"",R86/6,"")</f>
        <v/>
      </c>
    </row>
    <row r="87">
      <c r="A87" s="4">
        <f>A86+1</f>
        <v/>
      </c>
      <c r="B87" s="85" t="n"/>
      <c r="C87" s="76" t="n"/>
      <c r="D87" s="77" t="n"/>
      <c r="E87" s="78" t="n"/>
      <c r="F87" s="79" t="n"/>
      <c r="G87" s="67" t="n"/>
      <c r="H87" s="93" t="n"/>
      <c r="I87" s="81">
        <f>IF(AND(F87="",G87=""),"",IF(F87&lt;7,F87+G87,F87+10+H87))</f>
        <v/>
      </c>
      <c r="J87" s="82">
        <f>IF(I87="","",IF(F87&lt;7,IF(I87&lt;=10,"Full Refresher","Moderate Refresher"),IF(I87&lt;27,"Light Refresher","Grade Ready")))</f>
        <v/>
      </c>
      <c r="K87" s="94" t="n"/>
      <c r="L87" s="95" t="n"/>
      <c r="M87" s="118">
        <f>IF($C$9&lt;&gt;"",IF(OR(K87=1, K87=2),IF(K87=1,M$7-L87,$P$7-L87),""),"")</f>
        <v/>
      </c>
      <c r="N87" s="93" t="n"/>
      <c r="O87" s="93" t="n"/>
      <c r="P87" s="118">
        <f>IF(AND(K87&gt;0,M87&gt;0,OR(N87&gt;0,O87&gt;0)),(M87/((N87*60)+O87))*60,"")</f>
        <v/>
      </c>
      <c r="Q87" s="122">
        <f>IFERROR(IF(OR(K87=1, K87=2),IF(K87=1,M87/$M$7,M87/$P$7),""),"")</f>
        <v/>
      </c>
      <c r="R87" s="93" t="n"/>
      <c r="S87" s="93" t="n"/>
      <c r="T87" s="96" t="n"/>
      <c r="U87" s="87">
        <f>IF(J87&lt;&gt;"",IF(J87="Full Refresher","Low Emerging Reader",IF(AND(K87&gt;0,Q87&lt;&gt;""),IF(OR(Q87&lt;=25%,AND(Q87&gt;25%,Q87&lt;=50%, R87=0)),"High Emerging Reader",IF(OR(AND(Q87&gt;25%,Q87&lt;51%, R87&gt;=1),AND(Q87&gt;50%,Q87&lt;76%,R87&lt;=2)),"Developing Reader",IF(OR(AND(Q87&gt;=51%, Q87&lt;76%,R87&gt;=3),AND(Q87&gt;75%,R87&lt;=4)),"Transitioning Reader",IF(AND(Q87&gt;75%,R87&gt;=5),"Reading At Grade Level","")))),"")),"")</f>
        <v/>
      </c>
      <c r="V87" s="97" t="n"/>
      <c r="Y87" s="221">
        <f>IF(C87&lt;&gt;"",R87/6,"")</f>
        <v/>
      </c>
    </row>
    <row r="88">
      <c r="A88" s="5">
        <f>A87+1</f>
        <v/>
      </c>
      <c r="B88" s="93" t="n"/>
      <c r="C88" s="89" t="n"/>
      <c r="D88" s="90" t="n"/>
      <c r="E88" s="91" t="n"/>
      <c r="F88" s="92" t="n"/>
      <c r="G88" s="80" t="n"/>
      <c r="H88" s="85" t="n"/>
      <c r="I88" s="81">
        <f>IF(AND(F88="",G88=""),"",IF(F88&lt;7,F88+G88,F88+10+H88))</f>
        <v/>
      </c>
      <c r="J88" s="82">
        <f>IF(I88="","",IF(F88&lt;7,IF(I88&lt;=10,"Full Refresher","Moderate Refresher"),IF(I88&lt;27,"Light Refresher","Grade Ready")))</f>
        <v/>
      </c>
      <c r="K88" s="83" t="n"/>
      <c r="L88" s="84" t="n"/>
      <c r="M88" s="118">
        <f>IF($C$9&lt;&gt;"",IF(OR(K88=1, K88=2),IF(K88=1,M$7-L88,$P$7-L88),""),"")</f>
        <v/>
      </c>
      <c r="N88" s="85" t="n"/>
      <c r="O88" s="85" t="n"/>
      <c r="P88" s="118">
        <f>IF(AND(K88&gt;0,M88&gt;0,OR(N88&gt;0,O88&gt;0)),(M88/((N88*60)+O88))*60,"")</f>
        <v/>
      </c>
      <c r="Q88" s="122">
        <f>IFERROR(IF(OR(K88=1, K88=2),IF(K88=1,M88/$M$7,M88/$P$7),""),"")</f>
        <v/>
      </c>
      <c r="R88" s="85" t="n"/>
      <c r="S88" s="85" t="n"/>
      <c r="T88" s="86" t="n"/>
      <c r="U88" s="87">
        <f>IF(J88&lt;&gt;"",IF(J88="Full Refresher","Low Emerging Reader",IF(AND(K88&gt;0,Q88&lt;&gt;""),IF(OR(Q88&lt;=25%,AND(Q88&gt;25%,Q88&lt;=50%, R88=0)),"High Emerging Reader",IF(OR(AND(Q88&gt;25%,Q88&lt;51%, R88&gt;=1),AND(Q88&gt;50%,Q88&lt;76%,R88&lt;=2)),"Developing Reader",IF(OR(AND(Q88&gt;=51%, Q88&lt;76%,R88&gt;=3),AND(Q88&gt;75%,R88&lt;=4)),"Transitioning Reader",IF(AND(Q88&gt;75%,R88&gt;=5),"Reading At Grade Level","")))),"")),"")</f>
        <v/>
      </c>
      <c r="V88" s="88" t="n"/>
      <c r="Y88" s="221">
        <f>IF(C88&lt;&gt;"",R88/6,"")</f>
        <v/>
      </c>
    </row>
    <row r="89">
      <c r="A89" s="4">
        <f>A88+1</f>
        <v/>
      </c>
      <c r="B89" s="85" t="n"/>
      <c r="C89" s="76" t="n"/>
      <c r="D89" s="77" t="n"/>
      <c r="E89" s="78" t="n"/>
      <c r="F89" s="79" t="n"/>
      <c r="G89" s="67" t="n"/>
      <c r="H89" s="93" t="n"/>
      <c r="I89" s="81">
        <f>IF(AND(F89="",G89=""),"",IF(F89&lt;7,F89+G89,F89+10+H89))</f>
        <v/>
      </c>
      <c r="J89" s="82">
        <f>IF(I89="","",IF(F89&lt;7,IF(I89&lt;=10,"Full Refresher","Moderate Refresher"),IF(I89&lt;27,"Light Refresher","Grade Ready")))</f>
        <v/>
      </c>
      <c r="K89" s="94" t="n"/>
      <c r="L89" s="95" t="n"/>
      <c r="M89" s="118">
        <f>IF($C$9&lt;&gt;"",IF(OR(K89=1, K89=2),IF(K89=1,M$7-L89,$P$7-L89),""),"")</f>
        <v/>
      </c>
      <c r="N89" s="93" t="n"/>
      <c r="O89" s="93" t="n"/>
      <c r="P89" s="118">
        <f>IF(AND(K89&gt;0,M89&gt;0,OR(N89&gt;0,O89&gt;0)),(M89/((N89*60)+O89))*60,"")</f>
        <v/>
      </c>
      <c r="Q89" s="122">
        <f>IFERROR(IF(OR(K89=1, K89=2),IF(K89=1,M89/$M$7,M89/$P$7),""),"")</f>
        <v/>
      </c>
      <c r="R89" s="93" t="n"/>
      <c r="S89" s="93" t="n"/>
      <c r="T89" s="96" t="n"/>
      <c r="U89" s="87">
        <f>IF(J89&lt;&gt;"",IF(J89="Full Refresher","Low Emerging Reader",IF(AND(K89&gt;0,Q89&lt;&gt;""),IF(OR(Q89&lt;=25%,AND(Q89&gt;25%,Q89&lt;=50%, R89=0)),"High Emerging Reader",IF(OR(AND(Q89&gt;25%,Q89&lt;51%, R89&gt;=1),AND(Q89&gt;50%,Q89&lt;76%,R89&lt;=2)),"Developing Reader",IF(OR(AND(Q89&gt;=51%, Q89&lt;76%,R89&gt;=3),AND(Q89&gt;75%,R89&lt;=4)),"Transitioning Reader",IF(AND(Q89&gt;75%,R89&gt;=5),"Reading At Grade Level","")))),"")),"")</f>
        <v/>
      </c>
      <c r="V89" s="97" t="n"/>
      <c r="Y89" s="221">
        <f>IF(C89&lt;&gt;"",R89/6,"")</f>
        <v/>
      </c>
    </row>
    <row r="90">
      <c r="A90" s="5">
        <f>A89+1</f>
        <v/>
      </c>
      <c r="B90" s="93" t="n"/>
      <c r="C90" s="89" t="n"/>
      <c r="D90" s="90" t="n"/>
      <c r="E90" s="91" t="n"/>
      <c r="F90" s="92" t="n"/>
      <c r="G90" s="80" t="n"/>
      <c r="H90" s="85" t="n"/>
      <c r="I90" s="81">
        <f>IF(AND(F90="",G90=""),"",IF(F90&lt;7,F90+G90,F90+10+H90))</f>
        <v/>
      </c>
      <c r="J90" s="82">
        <f>IF(I90="","",IF(F90&lt;7,IF(I90&lt;=10,"Full Refresher","Moderate Refresher"),IF(I90&lt;27,"Light Refresher","Grade Ready")))</f>
        <v/>
      </c>
      <c r="K90" s="83" t="n"/>
      <c r="L90" s="84" t="n"/>
      <c r="M90" s="118">
        <f>IF($C$9&lt;&gt;"",IF(OR(K90=1, K90=2),IF(K90=1,M$7-L90,$P$7-L90),""),"")</f>
        <v/>
      </c>
      <c r="N90" s="85" t="n"/>
      <c r="O90" s="85" t="n"/>
      <c r="P90" s="118">
        <f>IF(AND(K90&gt;0,M90&gt;0,OR(N90&gt;0,O90&gt;0)),(M90/((N90*60)+O90))*60,"")</f>
        <v/>
      </c>
      <c r="Q90" s="122">
        <f>IFERROR(IF(OR(K90=1, K90=2),IF(K90=1,M90/$M$7,M90/$P$7),""),"")</f>
        <v/>
      </c>
      <c r="R90" s="85" t="n"/>
      <c r="S90" s="85" t="n"/>
      <c r="T90" s="86" t="n"/>
      <c r="U90" s="87">
        <f>IF(J90&lt;&gt;"",IF(J90="Full Refresher","Low Emerging Reader",IF(AND(K90&gt;0,Q90&lt;&gt;""),IF(OR(Q90&lt;=25%,AND(Q90&gt;25%,Q90&lt;=50%, R90=0)),"High Emerging Reader",IF(OR(AND(Q90&gt;25%,Q90&lt;51%, R90&gt;=1),AND(Q90&gt;50%,Q90&lt;76%,R90&lt;=2)),"Developing Reader",IF(OR(AND(Q90&gt;=51%, Q90&lt;76%,R90&gt;=3),AND(Q90&gt;75%,R90&lt;=4)),"Transitioning Reader",IF(AND(Q90&gt;75%,R90&gt;=5),"Reading At Grade Level","")))),"")),"")</f>
        <v/>
      </c>
      <c r="V90" s="88" t="n"/>
      <c r="Y90" s="221">
        <f>IF(C90&lt;&gt;"",R90/6,"")</f>
        <v/>
      </c>
    </row>
    <row r="91">
      <c r="A91" s="4">
        <f>A90+1</f>
        <v/>
      </c>
      <c r="B91" s="85" t="n"/>
      <c r="C91" s="76" t="n"/>
      <c r="D91" s="77" t="n"/>
      <c r="E91" s="78" t="n"/>
      <c r="F91" s="79" t="n"/>
      <c r="G91" s="67" t="n"/>
      <c r="H91" s="93" t="n"/>
      <c r="I91" s="81">
        <f>IF(AND(F91="",G91=""),"",IF(F91&lt;7,F91+G91,F91+10+H91))</f>
        <v/>
      </c>
      <c r="J91" s="82">
        <f>IF(I91="","",IF(F91&lt;7,IF(I91&lt;=10,"Full Refresher","Moderate Refresher"),IF(I91&lt;27,"Light Refresher","Grade Ready")))</f>
        <v/>
      </c>
      <c r="K91" s="94" t="n"/>
      <c r="L91" s="95" t="n"/>
      <c r="M91" s="118">
        <f>IF($C$9&lt;&gt;"",IF(OR(K91=1, K91=2),IF(K91=1,M$7-L91,$P$7-L91),""),"")</f>
        <v/>
      </c>
      <c r="N91" s="93" t="n"/>
      <c r="O91" s="93" t="n"/>
      <c r="P91" s="118">
        <f>IF(AND(K91&gt;0,M91&gt;0,OR(N91&gt;0,O91&gt;0)),(M91/((N91*60)+O91))*60,"")</f>
        <v/>
      </c>
      <c r="Q91" s="122">
        <f>IFERROR(IF(OR(K91=1, K91=2),IF(K91=1,M91/$M$7,M91/$P$7),""),"")</f>
        <v/>
      </c>
      <c r="R91" s="93" t="n"/>
      <c r="S91" s="93" t="n"/>
      <c r="T91" s="96" t="n"/>
      <c r="U91" s="87">
        <f>IF(J91&lt;&gt;"",IF(J91="Full Refresher","Low Emerging Reader",IF(AND(K91&gt;0,Q91&lt;&gt;""),IF(OR(Q91&lt;=25%,AND(Q91&gt;25%,Q91&lt;=50%, R91=0)),"High Emerging Reader",IF(OR(AND(Q91&gt;25%,Q91&lt;51%, R91&gt;=1),AND(Q91&gt;50%,Q91&lt;76%,R91&lt;=2)),"Developing Reader",IF(OR(AND(Q91&gt;=51%, Q91&lt;76%,R91&gt;=3),AND(Q91&gt;75%,R91&lt;=4)),"Transitioning Reader",IF(AND(Q91&gt;75%,R91&gt;=5),"Reading At Grade Level","")))),"")),"")</f>
        <v/>
      </c>
      <c r="V91" s="97" t="n"/>
      <c r="Y91" s="221">
        <f>IF(C91&lt;&gt;"",R91/6,"")</f>
        <v/>
      </c>
    </row>
    <row r="92">
      <c r="A92" s="5">
        <f>A91+1</f>
        <v/>
      </c>
      <c r="B92" s="93" t="n"/>
      <c r="C92" s="89" t="n"/>
      <c r="D92" s="90" t="n"/>
      <c r="E92" s="91" t="n"/>
      <c r="F92" s="92" t="n"/>
      <c r="G92" s="80" t="n"/>
      <c r="H92" s="85" t="n"/>
      <c r="I92" s="81">
        <f>IF(AND(F92="",G92=""),"",IF(F92&lt;7,F92+G92,F92+10+H92))</f>
        <v/>
      </c>
      <c r="J92" s="82">
        <f>IF(I92="","",IF(F92&lt;7,IF(I92&lt;=10,"Full Refresher","Moderate Refresher"),IF(I92&lt;27,"Light Refresher","Grade Ready")))</f>
        <v/>
      </c>
      <c r="K92" s="83" t="n"/>
      <c r="L92" s="84" t="n"/>
      <c r="M92" s="118">
        <f>IF($C$9&lt;&gt;"",IF(OR(K92=1, K92=2),IF(K92=1,M$7-L92,$P$7-L92),""),"")</f>
        <v/>
      </c>
      <c r="N92" s="85" t="n"/>
      <c r="O92" s="85" t="n"/>
      <c r="P92" s="118">
        <f>IF(AND(K92&gt;0,M92&gt;0,OR(N92&gt;0,O92&gt;0)),(M92/((N92*60)+O92))*60,"")</f>
        <v/>
      </c>
      <c r="Q92" s="122">
        <f>IFERROR(IF(OR(K92=1, K92=2),IF(K92=1,M92/$M$7,M92/$P$7),""),"")</f>
        <v/>
      </c>
      <c r="R92" s="85" t="n"/>
      <c r="S92" s="85" t="n"/>
      <c r="T92" s="86" t="n"/>
      <c r="U92" s="87">
        <f>IF(J92&lt;&gt;"",IF(J92="Full Refresher","Low Emerging Reader",IF(AND(K92&gt;0,Q92&lt;&gt;""),IF(OR(Q92&lt;=25%,AND(Q92&gt;25%,Q92&lt;=50%, R92=0)),"High Emerging Reader",IF(OR(AND(Q92&gt;25%,Q92&lt;51%, R92&gt;=1),AND(Q92&gt;50%,Q92&lt;76%,R92&lt;=2)),"Developing Reader",IF(OR(AND(Q92&gt;=51%, Q92&lt;76%,R92&gt;=3),AND(Q92&gt;75%,R92&lt;=4)),"Transitioning Reader",IF(AND(Q92&gt;75%,R92&gt;=5),"Reading At Grade Level","")))),"")),"")</f>
        <v/>
      </c>
      <c r="V92" s="88" t="n"/>
      <c r="Y92" s="221">
        <f>IF(C92&lt;&gt;"",R92/6,"")</f>
        <v/>
      </c>
    </row>
    <row r="93">
      <c r="A93" s="4">
        <f>A92+1</f>
        <v/>
      </c>
      <c r="B93" s="85" t="n"/>
      <c r="C93" s="76" t="n"/>
      <c r="D93" s="77" t="n"/>
      <c r="E93" s="78" t="n"/>
      <c r="F93" s="79" t="n"/>
      <c r="G93" s="67" t="n"/>
      <c r="H93" s="93" t="n"/>
      <c r="I93" s="81">
        <f>IF(AND(F93="",G93=""),"",IF(F93&lt;7,F93+G93,F93+10+H93))</f>
        <v/>
      </c>
      <c r="J93" s="82">
        <f>IF(I93="","",IF(F93&lt;7,IF(I93&lt;=10,"Full Refresher","Moderate Refresher"),IF(I93&lt;27,"Light Refresher","Grade Ready")))</f>
        <v/>
      </c>
      <c r="K93" s="94" t="n"/>
      <c r="L93" s="95" t="n"/>
      <c r="M93" s="118">
        <f>IF($C$9&lt;&gt;"",IF(OR(K93=1, K93=2),IF(K93=1,M$7-L93,$P$7-L93),""),"")</f>
        <v/>
      </c>
      <c r="N93" s="93" t="n"/>
      <c r="O93" s="93" t="n"/>
      <c r="P93" s="118">
        <f>IF(AND(K93&gt;0,M93&gt;0,OR(N93&gt;0,O93&gt;0)),(M93/((N93*60)+O93))*60,"")</f>
        <v/>
      </c>
      <c r="Q93" s="122">
        <f>IFERROR(IF(OR(K93=1, K93=2),IF(K93=1,M93/$M$7,M93/$P$7),""),"")</f>
        <v/>
      </c>
      <c r="R93" s="93" t="n"/>
      <c r="S93" s="93" t="n"/>
      <c r="T93" s="96" t="n"/>
      <c r="U93" s="87">
        <f>IF(J93&lt;&gt;"",IF(J93="Full Refresher","Low Emerging Reader",IF(AND(K93&gt;0,Q93&lt;&gt;""),IF(OR(Q93&lt;=25%,AND(Q93&gt;25%,Q93&lt;=50%, R93=0)),"High Emerging Reader",IF(OR(AND(Q93&gt;25%,Q93&lt;51%, R93&gt;=1),AND(Q93&gt;50%,Q93&lt;76%,R93&lt;=2)),"Developing Reader",IF(OR(AND(Q93&gt;=51%, Q93&lt;76%,R93&gt;=3),AND(Q93&gt;75%,R93&lt;=4)),"Transitioning Reader",IF(AND(Q93&gt;75%,R93&gt;=5),"Reading At Grade Level","")))),"")),"")</f>
        <v/>
      </c>
      <c r="V93" s="97" t="n"/>
      <c r="Y93" s="221">
        <f>IF(C93&lt;&gt;"",R93/6,"")</f>
        <v/>
      </c>
    </row>
    <row r="94">
      <c r="A94" s="5">
        <f>A93+1</f>
        <v/>
      </c>
      <c r="B94" s="93" t="n"/>
      <c r="C94" s="89" t="n"/>
      <c r="D94" s="90" t="n"/>
      <c r="E94" s="91" t="n"/>
      <c r="F94" s="92" t="n"/>
      <c r="G94" s="80" t="n"/>
      <c r="H94" s="85" t="n"/>
      <c r="I94" s="81">
        <f>IF(AND(F94="",G94=""),"",IF(F94&lt;7,F94+G94,F94+10+H94))</f>
        <v/>
      </c>
      <c r="J94" s="82">
        <f>IF(I94="","",IF(F94&lt;7,IF(I94&lt;=10,"Full Refresher","Moderate Refresher"),IF(I94&lt;27,"Light Refresher","Grade Ready")))</f>
        <v/>
      </c>
      <c r="K94" s="83" t="n"/>
      <c r="L94" s="84" t="n"/>
      <c r="M94" s="118">
        <f>IF($C$9&lt;&gt;"",IF(OR(K94=1, K94=2),IF(K94=1,M$7-L94,$P$7-L94),""),"")</f>
        <v/>
      </c>
      <c r="N94" s="85" t="n"/>
      <c r="O94" s="85" t="n"/>
      <c r="P94" s="118">
        <f>IF(AND(K94&gt;0,M94&gt;0,OR(N94&gt;0,O94&gt;0)),(M94/((N94*60)+O94))*60,"")</f>
        <v/>
      </c>
      <c r="Q94" s="122">
        <f>IFERROR(IF(OR(K94=1, K94=2),IF(K94=1,M94/$M$7,M94/$P$7),""),"")</f>
        <v/>
      </c>
      <c r="R94" s="85" t="n"/>
      <c r="S94" s="85" t="n"/>
      <c r="T94" s="86" t="n"/>
      <c r="U94" s="87">
        <f>IF(J94&lt;&gt;"",IF(J94="Full Refresher","Low Emerging Reader",IF(AND(K94&gt;0,Q94&lt;&gt;""),IF(OR(Q94&lt;=25%,AND(Q94&gt;25%,Q94&lt;=50%, R94=0)),"High Emerging Reader",IF(OR(AND(Q94&gt;25%,Q94&lt;51%, R94&gt;=1),AND(Q94&gt;50%,Q94&lt;76%,R94&lt;=2)),"Developing Reader",IF(OR(AND(Q94&gt;=51%, Q94&lt;76%,R94&gt;=3),AND(Q94&gt;75%,R94&lt;=4)),"Transitioning Reader",IF(AND(Q94&gt;75%,R94&gt;=5),"Reading At Grade Level","")))),"")),"")</f>
        <v/>
      </c>
      <c r="V94" s="88" t="n"/>
      <c r="Y94" s="221">
        <f>IF(C94&lt;&gt;"",R94/6,"")</f>
        <v/>
      </c>
    </row>
    <row r="95">
      <c r="A95" s="4">
        <f>A94+1</f>
        <v/>
      </c>
      <c r="B95" s="85" t="n"/>
      <c r="C95" s="76" t="n"/>
      <c r="D95" s="77" t="n"/>
      <c r="E95" s="78" t="n"/>
      <c r="F95" s="79" t="n"/>
      <c r="G95" s="67" t="n"/>
      <c r="H95" s="93" t="n"/>
      <c r="I95" s="81">
        <f>IF(AND(F95="",G95=""),"",IF(F95&lt;7,F95+G95,F95+10+H95))</f>
        <v/>
      </c>
      <c r="J95" s="82">
        <f>IF(I95="","",IF(F95&lt;7,IF(I95&lt;=10,"Full Refresher","Moderate Refresher"),IF(I95&lt;27,"Light Refresher","Grade Ready")))</f>
        <v/>
      </c>
      <c r="K95" s="94" t="n"/>
      <c r="L95" s="95" t="n"/>
      <c r="M95" s="118">
        <f>IF($C$9&lt;&gt;"",IF(OR(K95=1, K95=2),IF(K95=1,M$7-L95,$P$7-L95),""),"")</f>
        <v/>
      </c>
      <c r="N95" s="93" t="n"/>
      <c r="O95" s="93" t="n"/>
      <c r="P95" s="118">
        <f>IF(AND(K95&gt;0,M95&gt;0,OR(N95&gt;0,O95&gt;0)),(M95/((N95*60)+O95))*60,"")</f>
        <v/>
      </c>
      <c r="Q95" s="122">
        <f>IFERROR(IF(OR(K95=1, K95=2),IF(K95=1,M95/$M$7,M95/$P$7),""),"")</f>
        <v/>
      </c>
      <c r="R95" s="93" t="n"/>
      <c r="S95" s="93" t="n"/>
      <c r="T95" s="96" t="n"/>
      <c r="U95" s="87">
        <f>IF(J95&lt;&gt;"",IF(J95="Full Refresher","Low Emerging Reader",IF(AND(K95&gt;0,Q95&lt;&gt;""),IF(OR(Q95&lt;=25%,AND(Q95&gt;25%,Q95&lt;=50%, R95=0)),"High Emerging Reader",IF(OR(AND(Q95&gt;25%,Q95&lt;51%, R95&gt;=1),AND(Q95&gt;50%,Q95&lt;76%,R95&lt;=2)),"Developing Reader",IF(OR(AND(Q95&gt;=51%, Q95&lt;76%,R95&gt;=3),AND(Q95&gt;75%,R95&lt;=4)),"Transitioning Reader",IF(AND(Q95&gt;75%,R95&gt;=5),"Reading At Grade Level","")))),"")),"")</f>
        <v/>
      </c>
      <c r="V95" s="97" t="n"/>
      <c r="Y95" s="221">
        <f>IF(C95&lt;&gt;"",R95/6,"")</f>
        <v/>
      </c>
    </row>
    <row r="96">
      <c r="A96" s="5">
        <f>A95+1</f>
        <v/>
      </c>
      <c r="B96" s="93" t="n"/>
      <c r="C96" s="89" t="n"/>
      <c r="D96" s="90" t="n"/>
      <c r="E96" s="91" t="n"/>
      <c r="F96" s="92" t="n"/>
      <c r="G96" s="80" t="n"/>
      <c r="H96" s="85" t="n"/>
      <c r="I96" s="81">
        <f>IF(AND(F96="",G96=""),"",IF(F96&lt;7,F96+G96,F96+10+H96))</f>
        <v/>
      </c>
      <c r="J96" s="82">
        <f>IF(I96="","",IF(F96&lt;7,IF(I96&lt;=10,"Full Refresher","Moderate Refresher"),IF(I96&lt;27,"Light Refresher","Grade Ready")))</f>
        <v/>
      </c>
      <c r="K96" s="83" t="n"/>
      <c r="L96" s="84" t="n"/>
      <c r="M96" s="118">
        <f>IF($C$9&lt;&gt;"",IF(OR(K96=1, K96=2),IF(K96=1,M$7-L96,$P$7-L96),""),"")</f>
        <v/>
      </c>
      <c r="N96" s="85" t="n"/>
      <c r="O96" s="85" t="n"/>
      <c r="P96" s="118">
        <f>IF(AND(K96&gt;0,M96&gt;0,OR(N96&gt;0,O96&gt;0)),(M96/((N96*60)+O96))*60,"")</f>
        <v/>
      </c>
      <c r="Q96" s="122">
        <f>IFERROR(IF(OR(K96=1, K96=2),IF(K96=1,M96/$M$7,M96/$P$7),""),"")</f>
        <v/>
      </c>
      <c r="R96" s="85" t="n"/>
      <c r="S96" s="85" t="n"/>
      <c r="T96" s="86" t="n"/>
      <c r="U96" s="87">
        <f>IF(J96&lt;&gt;"",IF(J96="Full Refresher","Low Emerging Reader",IF(AND(K96&gt;0,Q96&lt;&gt;""),IF(OR(Q96&lt;=25%,AND(Q96&gt;25%,Q96&lt;=50%, R96=0)),"High Emerging Reader",IF(OR(AND(Q96&gt;25%,Q96&lt;51%, R96&gt;=1),AND(Q96&gt;50%,Q96&lt;76%,R96&lt;=2)),"Developing Reader",IF(OR(AND(Q96&gt;=51%, Q96&lt;76%,R96&gt;=3),AND(Q96&gt;75%,R96&lt;=4)),"Transitioning Reader",IF(AND(Q96&gt;75%,R96&gt;=5),"Reading At Grade Level","")))),"")),"")</f>
        <v/>
      </c>
      <c r="V96" s="88" t="n"/>
      <c r="Y96" s="221">
        <f>IF(C96&lt;&gt;"",R96/6,"")</f>
        <v/>
      </c>
    </row>
    <row r="97">
      <c r="A97" s="4">
        <f>A96+1</f>
        <v/>
      </c>
      <c r="B97" s="85" t="n"/>
      <c r="C97" s="76" t="n"/>
      <c r="D97" s="77" t="n"/>
      <c r="E97" s="78" t="n"/>
      <c r="F97" s="79" t="n"/>
      <c r="G97" s="67" t="n"/>
      <c r="H97" s="93" t="n"/>
      <c r="I97" s="81">
        <f>IF(AND(F97="",G97=""),"",IF(F97&lt;7,F97+G97,F97+10+H97))</f>
        <v/>
      </c>
      <c r="J97" s="82">
        <f>IF(I97="","",IF(F97&lt;7,IF(I97&lt;=10,"Full Refresher","Moderate Refresher"),IF(I97&lt;27,"Light Refresher","Grade Ready")))</f>
        <v/>
      </c>
      <c r="K97" s="94" t="n"/>
      <c r="L97" s="95" t="n"/>
      <c r="M97" s="118">
        <f>IF($C$9&lt;&gt;"",IF(OR(K97=1, K97=2),IF(K97=1,M$7-L97,$P$7-L97),""),"")</f>
        <v/>
      </c>
      <c r="N97" s="93" t="n"/>
      <c r="O97" s="93" t="n"/>
      <c r="P97" s="118">
        <f>IF(AND(K97&gt;0,M97&gt;0,OR(N97&gt;0,O97&gt;0)),(M97/((N97*60)+O97))*60,"")</f>
        <v/>
      </c>
      <c r="Q97" s="122">
        <f>IFERROR(IF(OR(K97=1, K97=2),IF(K97=1,M97/$M$7,M97/$P$7),""),"")</f>
        <v/>
      </c>
      <c r="R97" s="93" t="n"/>
      <c r="S97" s="93" t="n"/>
      <c r="T97" s="96" t="n"/>
      <c r="U97" s="87">
        <f>IF(J97&lt;&gt;"",IF(J97="Full Refresher","Low Emerging Reader",IF(AND(K97&gt;0,Q97&lt;&gt;""),IF(OR(Q97&lt;=25%,AND(Q97&gt;25%,Q97&lt;=50%, R97=0)),"High Emerging Reader",IF(OR(AND(Q97&gt;25%,Q97&lt;51%, R97&gt;=1),AND(Q97&gt;50%,Q97&lt;76%,R97&lt;=2)),"Developing Reader",IF(OR(AND(Q97&gt;=51%, Q97&lt;76%,R97&gt;=3),AND(Q97&gt;75%,R97&lt;=4)),"Transitioning Reader",IF(AND(Q97&gt;75%,R97&gt;=5),"Reading At Grade Level","")))),"")),"")</f>
        <v/>
      </c>
      <c r="V97" s="97" t="n"/>
      <c r="Y97" s="221">
        <f>IF(C97&lt;&gt;"",R97/6,"")</f>
        <v/>
      </c>
    </row>
    <row r="98">
      <c r="A98" s="5">
        <f>A97+1</f>
        <v/>
      </c>
      <c r="B98" s="93" t="n"/>
      <c r="C98" s="89" t="n"/>
      <c r="D98" s="90" t="n"/>
      <c r="E98" s="91" t="n"/>
      <c r="F98" s="92" t="n"/>
      <c r="G98" s="80" t="n"/>
      <c r="H98" s="85" t="n"/>
      <c r="I98" s="81">
        <f>IF(AND(F98="",G98=""),"",IF(F98&lt;7,F98+G98,F98+10+H98))</f>
        <v/>
      </c>
      <c r="J98" s="82">
        <f>IF(I98="","",IF(F98&lt;7,IF(I98&lt;=10,"Full Refresher","Moderate Refresher"),IF(I98&lt;27,"Light Refresher","Grade Ready")))</f>
        <v/>
      </c>
      <c r="K98" s="83" t="n"/>
      <c r="L98" s="84" t="n"/>
      <c r="M98" s="118">
        <f>IF($C$9&lt;&gt;"",IF(OR(K98=1, K98=2),IF(K98=1,M$7-L98,$P$7-L98),""),"")</f>
        <v/>
      </c>
      <c r="N98" s="85" t="n"/>
      <c r="O98" s="85" t="n"/>
      <c r="P98" s="118">
        <f>IF(AND(K98&gt;0,M98&gt;0,OR(N98&gt;0,O98&gt;0)),(M98/((N98*60)+O98))*60,"")</f>
        <v/>
      </c>
      <c r="Q98" s="122">
        <f>IFERROR(IF(OR(K98=1, K98=2),IF(K98=1,M98/$M$7,M98/$P$7),""),"")</f>
        <v/>
      </c>
      <c r="R98" s="85" t="n"/>
      <c r="S98" s="85" t="n"/>
      <c r="T98" s="86" t="n"/>
      <c r="U98" s="87">
        <f>IF(J98&lt;&gt;"",IF(J98="Full Refresher","Low Emerging Reader",IF(AND(K98&gt;0,Q98&lt;&gt;""),IF(OR(Q98&lt;=25%,AND(Q98&gt;25%,Q98&lt;=50%, R98=0)),"High Emerging Reader",IF(OR(AND(Q98&gt;25%,Q98&lt;51%, R98&gt;=1),AND(Q98&gt;50%,Q98&lt;76%,R98&lt;=2)),"Developing Reader",IF(OR(AND(Q98&gt;=51%, Q98&lt;76%,R98&gt;=3),AND(Q98&gt;75%,R98&lt;=4)),"Transitioning Reader",IF(AND(Q98&gt;75%,R98&gt;=5),"Reading At Grade Level","")))),"")),"")</f>
        <v/>
      </c>
      <c r="V98" s="88" t="n"/>
      <c r="Y98" s="221">
        <f>IF(C98&lt;&gt;"",R98/6,"")</f>
        <v/>
      </c>
    </row>
    <row r="99">
      <c r="A99" s="4">
        <f>A98+1</f>
        <v/>
      </c>
      <c r="B99" s="85" t="n"/>
      <c r="C99" s="76" t="n"/>
      <c r="D99" s="77" t="n"/>
      <c r="E99" s="78" t="n"/>
      <c r="F99" s="79" t="n"/>
      <c r="G99" s="67" t="n"/>
      <c r="H99" s="93" t="n"/>
      <c r="I99" s="81">
        <f>IF(AND(F99="",G99=""),"",IF(F99&lt;7,F99+G99,F99+10+H99))</f>
        <v/>
      </c>
      <c r="J99" s="82">
        <f>IF(I99="","",IF(F99&lt;7,IF(I99&lt;=10,"Full Refresher","Moderate Refresher"),IF(I99&lt;27,"Light Refresher","Grade Ready")))</f>
        <v/>
      </c>
      <c r="K99" s="94" t="n"/>
      <c r="L99" s="95" t="n"/>
      <c r="M99" s="118">
        <f>IF($C$9&lt;&gt;"",IF(OR(K99=1, K99=2),IF(K99=1,M$7-L99,$P$7-L99),""),"")</f>
        <v/>
      </c>
      <c r="N99" s="93" t="n"/>
      <c r="O99" s="93" t="n"/>
      <c r="P99" s="118">
        <f>IF(AND(K99&gt;0,M99&gt;0,OR(N99&gt;0,O99&gt;0)),(M99/((N99*60)+O99))*60,"")</f>
        <v/>
      </c>
      <c r="Q99" s="122">
        <f>IFERROR(IF(OR(K99=1, K99=2),IF(K99=1,M99/$M$7,M99/$P$7),""),"")</f>
        <v/>
      </c>
      <c r="R99" s="93" t="n"/>
      <c r="S99" s="93" t="n"/>
      <c r="T99" s="96" t="n"/>
      <c r="U99" s="87">
        <f>IF(J99&lt;&gt;"",IF(J99="Full Refresher","Low Emerging Reader",IF(AND(K99&gt;0,Q99&lt;&gt;""),IF(OR(Q99&lt;=25%,AND(Q99&gt;25%,Q99&lt;=50%, R99=0)),"High Emerging Reader",IF(OR(AND(Q99&gt;25%,Q99&lt;51%, R99&gt;=1),AND(Q99&gt;50%,Q99&lt;76%,R99&lt;=2)),"Developing Reader",IF(OR(AND(Q99&gt;=51%, Q99&lt;76%,R99&gt;=3),AND(Q99&gt;75%,R99&lt;=4)),"Transitioning Reader",IF(AND(Q99&gt;75%,R99&gt;=5),"Reading At Grade Level","")))),"")),"")</f>
        <v/>
      </c>
      <c r="V99" s="97" t="n"/>
      <c r="Y99" s="221">
        <f>IF(C99&lt;&gt;"",R99/6,"")</f>
        <v/>
      </c>
    </row>
    <row r="100">
      <c r="A100" s="5">
        <f>A99+1</f>
        <v/>
      </c>
      <c r="B100" s="93" t="n"/>
      <c r="C100" s="89" t="n"/>
      <c r="D100" s="90" t="n"/>
      <c r="E100" s="91" t="n"/>
      <c r="F100" s="92" t="n"/>
      <c r="G100" s="80" t="n"/>
      <c r="H100" s="85" t="n"/>
      <c r="I100" s="81">
        <f>IF(AND(F100="",G100=""),"",IF(F100&lt;7,F100+G100,F100+10+H100))</f>
        <v/>
      </c>
      <c r="J100" s="82">
        <f>IF(I100="","",IF(F100&lt;7,IF(I100&lt;=10,"Full Refresher","Moderate Refresher"),IF(I100&lt;27,"Light Refresher","Grade Ready")))</f>
        <v/>
      </c>
      <c r="K100" s="83" t="n"/>
      <c r="L100" s="84" t="n"/>
      <c r="M100" s="118">
        <f>IF($C$9&lt;&gt;"",IF(OR(K100=1, K100=2),IF(K100=1,M$7-L100,$P$7-L100),""),"")</f>
        <v/>
      </c>
      <c r="N100" s="85" t="n"/>
      <c r="O100" s="85" t="n"/>
      <c r="P100" s="118">
        <f>IF(AND(K100&gt;0,M100&gt;0,OR(N100&gt;0,O100&gt;0)),(M100/((N100*60)+O100))*60,"")</f>
        <v/>
      </c>
      <c r="Q100" s="122">
        <f>IFERROR(IF(OR(K100=1, K100=2),IF(K100=1,M100/$M$7,M100/$P$7),""),"")</f>
        <v/>
      </c>
      <c r="R100" s="85" t="n"/>
      <c r="S100" s="85" t="n"/>
      <c r="T100" s="86" t="n"/>
      <c r="U100" s="87">
        <f>IF(J100&lt;&gt;"",IF(J100="Full Refresher","Low Emerging Reader",IF(AND(K100&gt;0,Q100&lt;&gt;""),IF(OR(Q100&lt;=25%,AND(Q100&gt;25%,Q100&lt;=50%, R100=0)),"High Emerging Reader",IF(OR(AND(Q100&gt;25%,Q100&lt;51%, R100&gt;=1),AND(Q100&gt;50%,Q100&lt;76%,R100&lt;=2)),"Developing Reader",IF(OR(AND(Q100&gt;=51%, Q100&lt;76%,R100&gt;=3),AND(Q100&gt;75%,R100&lt;=4)),"Transitioning Reader",IF(AND(Q100&gt;75%,R100&gt;=5),"Reading At Grade Level","")))),"")),"")</f>
        <v/>
      </c>
      <c r="V100" s="88" t="n"/>
      <c r="Y100" s="221">
        <f>IF(C100&lt;&gt;"",R100/6,"")</f>
        <v/>
      </c>
    </row>
    <row r="101">
      <c r="A101" s="4">
        <f>A100+1</f>
        <v/>
      </c>
      <c r="B101" s="85" t="n"/>
      <c r="C101" s="76" t="n"/>
      <c r="D101" s="77" t="n"/>
      <c r="E101" s="78" t="n"/>
      <c r="F101" s="79" t="n"/>
      <c r="G101" s="67" t="n"/>
      <c r="H101" s="93" t="n"/>
      <c r="I101" s="81">
        <f>IF(AND(F101="",G101=""),"",IF(F101&lt;7,F101+G101,F101+10+H101))</f>
        <v/>
      </c>
      <c r="J101" s="82">
        <f>IF(I101="","",IF(F101&lt;7,IF(I101&lt;=10,"Full Refresher","Moderate Refresher"),IF(I101&lt;27,"Light Refresher","Grade Ready")))</f>
        <v/>
      </c>
      <c r="K101" s="94" t="n"/>
      <c r="L101" s="95" t="n"/>
      <c r="M101" s="118">
        <f>IF($C$9&lt;&gt;"",IF(OR(K101=1, K101=2),IF(K101=1,M$7-L101,$P$7-L101),""),"")</f>
        <v/>
      </c>
      <c r="N101" s="93" t="n"/>
      <c r="O101" s="93" t="n"/>
      <c r="P101" s="118">
        <f>IF(AND(K101&gt;0,M101&gt;0,OR(N101&gt;0,O101&gt;0)),(M101/((N101*60)+O101))*60,"")</f>
        <v/>
      </c>
      <c r="Q101" s="122">
        <f>IFERROR(IF(OR(K101=1, K101=2),IF(K101=1,M101/$M$7,M101/$P$7),""),"")</f>
        <v/>
      </c>
      <c r="R101" s="93" t="n"/>
      <c r="S101" s="93" t="n"/>
      <c r="T101" s="96" t="n"/>
      <c r="U101" s="87">
        <f>IF(J101&lt;&gt;"",IF(J101="Full Refresher","Low Emerging Reader",IF(AND(K101&gt;0,Q101&lt;&gt;""),IF(OR(Q101&lt;=25%,AND(Q101&gt;25%,Q101&lt;=50%, R101=0)),"High Emerging Reader",IF(OR(AND(Q101&gt;25%,Q101&lt;51%, R101&gt;=1),AND(Q101&gt;50%,Q101&lt;76%,R101&lt;=2)),"Developing Reader",IF(OR(AND(Q101&gt;=51%, Q101&lt;76%,R101&gt;=3),AND(Q101&gt;75%,R101&lt;=4)),"Transitioning Reader",IF(AND(Q101&gt;75%,R101&gt;=5),"Reading At Grade Level","")))),"")),"")</f>
        <v/>
      </c>
      <c r="V101" s="97" t="n"/>
      <c r="Y101" s="221">
        <f>IF(C101&lt;&gt;"",R101/6,"")</f>
        <v/>
      </c>
    </row>
    <row r="102">
      <c r="A102" s="5">
        <f>A101+1</f>
        <v/>
      </c>
      <c r="B102" s="93" t="n"/>
      <c r="C102" s="89" t="n"/>
      <c r="D102" s="90" t="n"/>
      <c r="E102" s="91" t="n"/>
      <c r="F102" s="92" t="n"/>
      <c r="G102" s="80" t="n"/>
      <c r="H102" s="85" t="n"/>
      <c r="I102" s="81">
        <f>IF(AND(F102="",G102=""),"",IF(F102&lt;7,F102+G102,F102+10+H102))</f>
        <v/>
      </c>
      <c r="J102" s="82">
        <f>IF(I102="","",IF(F102&lt;7,IF(I102&lt;=10,"Full Refresher","Moderate Refresher"),IF(I102&lt;27,"Light Refresher","Grade Ready")))</f>
        <v/>
      </c>
      <c r="K102" s="83" t="n"/>
      <c r="L102" s="84" t="n"/>
      <c r="M102" s="118">
        <f>IF($C$9&lt;&gt;"",IF(OR(K102=1, K102=2),IF(K102=1,M$7-L102,$P$7-L102),""),"")</f>
        <v/>
      </c>
      <c r="N102" s="85" t="n"/>
      <c r="O102" s="85" t="n"/>
      <c r="P102" s="118">
        <f>IF(AND(K102&gt;0,M102&gt;0,OR(N102&gt;0,O102&gt;0)),(M102/((N102*60)+O102))*60,"")</f>
        <v/>
      </c>
      <c r="Q102" s="122">
        <f>IFERROR(IF(OR(K102=1, K102=2),IF(K102=1,M102/$M$7,M102/$P$7),""),"")</f>
        <v/>
      </c>
      <c r="R102" s="85" t="n"/>
      <c r="S102" s="85" t="n"/>
      <c r="T102" s="86" t="n"/>
      <c r="U102" s="87">
        <f>IF(J102&lt;&gt;"",IF(J102="Full Refresher","Low Emerging Reader",IF(AND(K102&gt;0,Q102&lt;&gt;""),IF(OR(Q102&lt;=25%,AND(Q102&gt;25%,Q102&lt;=50%, R102=0)),"High Emerging Reader",IF(OR(AND(Q102&gt;25%,Q102&lt;51%, R102&gt;=1),AND(Q102&gt;50%,Q102&lt;76%,R102&lt;=2)),"Developing Reader",IF(OR(AND(Q102&gt;=51%, Q102&lt;76%,R102&gt;=3),AND(Q102&gt;75%,R102&lt;=4)),"Transitioning Reader",IF(AND(Q102&gt;75%,R102&gt;=5),"Reading At Grade Level","")))),"")),"")</f>
        <v/>
      </c>
      <c r="V102" s="88" t="n"/>
      <c r="Y102" s="221">
        <f>IF(C102&lt;&gt;"",R102/6,"")</f>
        <v/>
      </c>
    </row>
    <row r="103">
      <c r="A103" s="4">
        <f>A102+1</f>
        <v/>
      </c>
      <c r="B103" s="85" t="n"/>
      <c r="C103" s="76" t="n"/>
      <c r="D103" s="77" t="n"/>
      <c r="E103" s="78" t="n"/>
      <c r="F103" s="79" t="n"/>
      <c r="G103" s="67" t="n"/>
      <c r="H103" s="93" t="n"/>
      <c r="I103" s="81">
        <f>IF(AND(F103="",G103=""),"",IF(F103&lt;7,F103+G103,F103+10+H103))</f>
        <v/>
      </c>
      <c r="J103" s="82">
        <f>IF(I103="","",IF(F103&lt;7,IF(I103&lt;=10,"Full Refresher","Moderate Refresher"),IF(I103&lt;27,"Light Refresher","Grade Ready")))</f>
        <v/>
      </c>
      <c r="K103" s="94" t="n"/>
      <c r="L103" s="95" t="n"/>
      <c r="M103" s="118">
        <f>IF($C$9&lt;&gt;"",IF(OR(K103=1, K103=2),IF(K103=1,M$7-L103,$P$7-L103),""),"")</f>
        <v/>
      </c>
      <c r="N103" s="93" t="n"/>
      <c r="O103" s="93" t="n"/>
      <c r="P103" s="118">
        <f>IF(AND(K103&gt;0,M103&gt;0,OR(N103&gt;0,O103&gt;0)),(M103/((N103*60)+O103))*60,"")</f>
        <v/>
      </c>
      <c r="Q103" s="122">
        <f>IFERROR(IF(OR(K103=1, K103=2),IF(K103=1,M103/$M$7,M103/$P$7),""),"")</f>
        <v/>
      </c>
      <c r="R103" s="93" t="n"/>
      <c r="S103" s="93" t="n"/>
      <c r="T103" s="96" t="n"/>
      <c r="U103" s="87">
        <f>IF(J103&lt;&gt;"",IF(J103="Full Refresher","Low Emerging Reader",IF(AND(K103&gt;0,Q103&lt;&gt;""),IF(OR(Q103&lt;=25%,AND(Q103&gt;25%,Q103&lt;=50%, R103=0)),"High Emerging Reader",IF(OR(AND(Q103&gt;25%,Q103&lt;51%, R103&gt;=1),AND(Q103&gt;50%,Q103&lt;76%,R103&lt;=2)),"Developing Reader",IF(OR(AND(Q103&gt;=51%, Q103&lt;76%,R103&gt;=3),AND(Q103&gt;75%,R103&lt;=4)),"Transitioning Reader",IF(AND(Q103&gt;75%,R103&gt;=5),"Reading At Grade Level","")))),"")),"")</f>
        <v/>
      </c>
      <c r="V103" s="97" t="n"/>
      <c r="Y103" s="221">
        <f>IF(C103&lt;&gt;"",R103/6,"")</f>
        <v/>
      </c>
    </row>
    <row r="104">
      <c r="A104" s="5">
        <f>A103+1</f>
        <v/>
      </c>
      <c r="B104" s="93" t="n"/>
      <c r="C104" s="89" t="n"/>
      <c r="D104" s="90" t="n"/>
      <c r="E104" s="91" t="n"/>
      <c r="F104" s="92" t="n"/>
      <c r="G104" s="80" t="n"/>
      <c r="H104" s="85" t="n"/>
      <c r="I104" s="81">
        <f>IF(AND(F104="",G104=""),"",IF(F104&lt;7,F104+G104,F104+10+H104))</f>
        <v/>
      </c>
      <c r="J104" s="82">
        <f>IF(I104="","",IF(F104&lt;7,IF(I104&lt;=10,"Full Refresher","Moderate Refresher"),IF(I104&lt;27,"Light Refresher","Grade Ready")))</f>
        <v/>
      </c>
      <c r="K104" s="83" t="n"/>
      <c r="L104" s="84" t="n"/>
      <c r="M104" s="118">
        <f>IF($C$9&lt;&gt;"",IF(OR(K104=1, K104=2),IF(K104=1,M$7-L104,$P$7-L104),""),"")</f>
        <v/>
      </c>
      <c r="N104" s="85" t="n"/>
      <c r="O104" s="85" t="n"/>
      <c r="P104" s="118">
        <f>IF(AND(K104&gt;0,M104&gt;0,OR(N104&gt;0,O104&gt;0)),(M104/((N104*60)+O104))*60,"")</f>
        <v/>
      </c>
      <c r="Q104" s="122">
        <f>IFERROR(IF(OR(K104=1, K104=2),IF(K104=1,M104/$M$7,M104/$P$7),""),"")</f>
        <v/>
      </c>
      <c r="R104" s="85" t="n"/>
      <c r="S104" s="85" t="n"/>
      <c r="T104" s="86" t="n"/>
      <c r="U104" s="87">
        <f>IF(J104&lt;&gt;"",IF(J104="Full Refresher","Low Emerging Reader",IF(AND(K104&gt;0,Q104&lt;&gt;""),IF(OR(Q104&lt;=25%,AND(Q104&gt;25%,Q104&lt;=50%, R104=0)),"High Emerging Reader",IF(OR(AND(Q104&gt;25%,Q104&lt;51%, R104&gt;=1),AND(Q104&gt;50%,Q104&lt;76%,R104&lt;=2)),"Developing Reader",IF(OR(AND(Q104&gt;=51%, Q104&lt;76%,R104&gt;=3),AND(Q104&gt;75%,R104&lt;=4)),"Transitioning Reader",IF(AND(Q104&gt;75%,R104&gt;=5),"Reading At Grade Level","")))),"")),"")</f>
        <v/>
      </c>
      <c r="V104" s="88" t="n"/>
      <c r="Y104" s="221">
        <f>IF(C104&lt;&gt;"",R104/6,"")</f>
        <v/>
      </c>
    </row>
    <row r="105">
      <c r="A105" s="4">
        <f>A104+1</f>
        <v/>
      </c>
      <c r="B105" s="85" t="n"/>
      <c r="C105" s="76" t="n"/>
      <c r="D105" s="77" t="n"/>
      <c r="E105" s="78" t="n"/>
      <c r="F105" s="79" t="n"/>
      <c r="G105" s="67" t="n"/>
      <c r="H105" s="93" t="n"/>
      <c r="I105" s="81">
        <f>IF(AND(F105="",G105=""),"",IF(F105&lt;7,F105+G105,F105+10+H105))</f>
        <v/>
      </c>
      <c r="J105" s="82">
        <f>IF(I105="","",IF(F105&lt;7,IF(I105&lt;=10,"Full Refresher","Moderate Refresher"),IF(I105&lt;27,"Light Refresher","Grade Ready")))</f>
        <v/>
      </c>
      <c r="K105" s="94" t="n"/>
      <c r="L105" s="95" t="n"/>
      <c r="M105" s="118">
        <f>IF($C$9&lt;&gt;"",IF(OR(K105=1, K105=2),IF(K105=1,M$7-L105,$P$7-L105),""),"")</f>
        <v/>
      </c>
      <c r="N105" s="93" t="n"/>
      <c r="O105" s="93" t="n"/>
      <c r="P105" s="118">
        <f>IF(AND(K105&gt;0,M105&gt;0,OR(N105&gt;0,O105&gt;0)),(M105/((N105*60)+O105))*60,"")</f>
        <v/>
      </c>
      <c r="Q105" s="122">
        <f>IFERROR(IF(OR(K105=1, K105=2),IF(K105=1,M105/$M$7,M105/$P$7),""),"")</f>
        <v/>
      </c>
      <c r="R105" s="93" t="n"/>
      <c r="S105" s="93" t="n"/>
      <c r="T105" s="96" t="n"/>
      <c r="U105" s="87">
        <f>IF(J105&lt;&gt;"",IF(J105="Full Refresher","Low Emerging Reader",IF(AND(K105&gt;0,Q105&lt;&gt;""),IF(OR(Q105&lt;=25%,AND(Q105&gt;25%,Q105&lt;=50%, R105=0)),"High Emerging Reader",IF(OR(AND(Q105&gt;25%,Q105&lt;51%, R105&gt;=1),AND(Q105&gt;50%,Q105&lt;76%,R105&lt;=2)),"Developing Reader",IF(OR(AND(Q105&gt;=51%, Q105&lt;76%,R105&gt;=3),AND(Q105&gt;75%,R105&lt;=4)),"Transitioning Reader",IF(AND(Q105&gt;75%,R105&gt;=5),"Reading At Grade Level","")))),"")),"")</f>
        <v/>
      </c>
      <c r="V105" s="97" t="n"/>
      <c r="Y105" s="221">
        <f>IF(C105&lt;&gt;"",R105/6,"")</f>
        <v/>
      </c>
    </row>
    <row r="106">
      <c r="A106" s="5">
        <f>A105+1</f>
        <v/>
      </c>
      <c r="B106" s="93" t="n"/>
      <c r="C106" s="89" t="n"/>
      <c r="D106" s="90" t="n"/>
      <c r="E106" s="91" t="n"/>
      <c r="F106" s="92" t="n"/>
      <c r="G106" s="80" t="n"/>
      <c r="H106" s="85" t="n"/>
      <c r="I106" s="81">
        <f>IF(AND(F106="",G106=""),"",IF(F106&lt;7,F106+G106,F106+10+H106))</f>
        <v/>
      </c>
      <c r="J106" s="82">
        <f>IF(I106="","",IF(F106&lt;7,IF(I106&lt;=10,"Full Refresher","Moderate Refresher"),IF(I106&lt;27,"Light Refresher","Grade Ready")))</f>
        <v/>
      </c>
      <c r="K106" s="83" t="n"/>
      <c r="L106" s="84" t="n"/>
      <c r="M106" s="118">
        <f>IF($C$9&lt;&gt;"",IF(OR(K106=1, K106=2),IF(K106=1,M$7-L106,$P$7-L106),""),"")</f>
        <v/>
      </c>
      <c r="N106" s="85" t="n"/>
      <c r="O106" s="85" t="n"/>
      <c r="P106" s="118">
        <f>IF(AND(K106&gt;0,M106&gt;0,OR(N106&gt;0,O106&gt;0)),(M106/((N106*60)+O106))*60,"")</f>
        <v/>
      </c>
      <c r="Q106" s="122">
        <f>IFERROR(IF(OR(K106=1, K106=2),IF(K106=1,M106/$M$7,M106/$P$7),""),"")</f>
        <v/>
      </c>
      <c r="R106" s="85" t="n"/>
      <c r="S106" s="85" t="n"/>
      <c r="T106" s="86" t="n"/>
      <c r="U106" s="87">
        <f>IF(J106&lt;&gt;"",IF(J106="Full Refresher","Low Emerging Reader",IF(AND(K106&gt;0,Q106&lt;&gt;""),IF(OR(Q106&lt;=25%,AND(Q106&gt;25%,Q106&lt;=50%, R106=0)),"High Emerging Reader",IF(OR(AND(Q106&gt;25%,Q106&lt;51%, R106&gt;=1),AND(Q106&gt;50%,Q106&lt;76%,R106&lt;=2)),"Developing Reader",IF(OR(AND(Q106&gt;=51%, Q106&lt;76%,R106&gt;=3),AND(Q106&gt;75%,R106&lt;=4)),"Transitioning Reader",IF(AND(Q106&gt;75%,R106&gt;=5),"Reading At Grade Level","")))),"")),"")</f>
        <v/>
      </c>
      <c r="V106" s="88" t="n"/>
      <c r="Y106" s="221">
        <f>IF(C106&lt;&gt;"",R106/6,"")</f>
        <v/>
      </c>
    </row>
    <row r="107">
      <c r="A107" s="4">
        <f>A106+1</f>
        <v/>
      </c>
      <c r="B107" s="85" t="n"/>
      <c r="C107" s="76" t="n"/>
      <c r="D107" s="77" t="n"/>
      <c r="E107" s="78" t="n"/>
      <c r="F107" s="79" t="n"/>
      <c r="G107" s="67" t="n"/>
      <c r="H107" s="93" t="n"/>
      <c r="I107" s="81">
        <f>IF(AND(F107="",G107=""),"",IF(F107&lt;7,F107+G107,F107+10+H107))</f>
        <v/>
      </c>
      <c r="J107" s="82">
        <f>IF(I107="","",IF(F107&lt;7,IF(I107&lt;=10,"Full Refresher","Moderate Refresher"),IF(I107&lt;27,"Light Refresher","Grade Ready")))</f>
        <v/>
      </c>
      <c r="K107" s="94" t="n"/>
      <c r="L107" s="95" t="n"/>
      <c r="M107" s="118">
        <f>IF($C$9&lt;&gt;"",IF(OR(K107=1, K107=2),IF(K107=1,M$7-L107,$P$7-L107),""),"")</f>
        <v/>
      </c>
      <c r="N107" s="93" t="n"/>
      <c r="O107" s="93" t="n"/>
      <c r="P107" s="118">
        <f>IF(AND(K107&gt;0,M107&gt;0,OR(N107&gt;0,O107&gt;0)),(M107/((N107*60)+O107))*60,"")</f>
        <v/>
      </c>
      <c r="Q107" s="122">
        <f>IFERROR(IF(OR(K107=1, K107=2),IF(K107=1,M107/$M$7,M107/$P$7),""),"")</f>
        <v/>
      </c>
      <c r="R107" s="93" t="n"/>
      <c r="S107" s="93" t="n"/>
      <c r="T107" s="96" t="n"/>
      <c r="U107" s="87">
        <f>IF(J107&lt;&gt;"",IF(J107="Full Refresher","Low Emerging Reader",IF(AND(K107&gt;0,Q107&lt;&gt;""),IF(OR(Q107&lt;=25%,AND(Q107&gt;25%,Q107&lt;=50%, R107=0)),"High Emerging Reader",IF(OR(AND(Q107&gt;25%,Q107&lt;51%, R107&gt;=1),AND(Q107&gt;50%,Q107&lt;76%,R107&lt;=2)),"Developing Reader",IF(OR(AND(Q107&gt;=51%, Q107&lt;76%,R107&gt;=3),AND(Q107&gt;75%,R107&lt;=4)),"Transitioning Reader",IF(AND(Q107&gt;75%,R107&gt;=5),"Reading At Grade Level","")))),"")),"")</f>
        <v/>
      </c>
      <c r="V107" s="97" t="n"/>
      <c r="Y107" s="221">
        <f>IF(C107&lt;&gt;"",R107/6,"")</f>
        <v/>
      </c>
    </row>
    <row r="108">
      <c r="A108" s="5">
        <f>A107+1</f>
        <v/>
      </c>
      <c r="B108" s="93" t="n"/>
      <c r="C108" s="89" t="n"/>
      <c r="D108" s="90" t="n"/>
      <c r="E108" s="91" t="n"/>
      <c r="F108" s="92" t="n"/>
      <c r="G108" s="80" t="n"/>
      <c r="H108" s="85" t="n"/>
      <c r="I108" s="81">
        <f>IF(AND(F108="",G108=""),"",IF(F108&lt;7,F108+G108,F108+10+H108))</f>
        <v/>
      </c>
      <c r="J108" s="82">
        <f>IF(I108="","",IF(F108&lt;7,IF(I108&lt;=10,"Full Refresher","Moderate Refresher"),IF(I108&lt;27,"Light Refresher","Grade Ready")))</f>
        <v/>
      </c>
      <c r="K108" s="83" t="n"/>
      <c r="L108" s="84" t="n"/>
      <c r="M108" s="118">
        <f>IF($C$9&lt;&gt;"",IF(OR(K108=1, K108=2),IF(K108=1,M$7-L108,$P$7-L108),""),"")</f>
        <v/>
      </c>
      <c r="N108" s="85" t="n"/>
      <c r="O108" s="85" t="n"/>
      <c r="P108" s="118">
        <f>IF(AND(K108&gt;0,M108&gt;0,OR(N108&gt;0,O108&gt;0)),(M108/((N108*60)+O108))*60,"")</f>
        <v/>
      </c>
      <c r="Q108" s="122">
        <f>IFERROR(IF(OR(K108=1, K108=2),IF(K108=1,M108/$M$7,M108/$P$7),""),"")</f>
        <v/>
      </c>
      <c r="R108" s="85" t="n"/>
      <c r="S108" s="85" t="n"/>
      <c r="T108" s="86" t="n"/>
      <c r="U108" s="87">
        <f>IF(J108&lt;&gt;"",IF(J108="Full Refresher","Low Emerging Reader",IF(AND(K108&gt;0,Q108&lt;&gt;""),IF(OR(Q108&lt;=25%,AND(Q108&gt;25%,Q108&lt;=50%, R108=0)),"High Emerging Reader",IF(OR(AND(Q108&gt;25%,Q108&lt;51%, R108&gt;=1),AND(Q108&gt;50%,Q108&lt;76%,R108&lt;=2)),"Developing Reader",IF(OR(AND(Q108&gt;=51%, Q108&lt;76%,R108&gt;=3),AND(Q108&gt;75%,R108&lt;=4)),"Transitioning Reader",IF(AND(Q108&gt;75%,R108&gt;=5),"Reading At Grade Level","")))),"")),"")</f>
        <v/>
      </c>
      <c r="V108" s="88" t="n"/>
      <c r="Y108" s="221">
        <f>IF(C108&lt;&gt;"",R108/6,"")</f>
        <v/>
      </c>
    </row>
    <row r="109">
      <c r="A109" s="4">
        <f>A108+1</f>
        <v/>
      </c>
      <c r="B109" s="85" t="n"/>
      <c r="C109" s="76" t="n"/>
      <c r="D109" s="77" t="n"/>
      <c r="E109" s="78" t="n"/>
      <c r="F109" s="79" t="n"/>
      <c r="G109" s="67" t="n"/>
      <c r="H109" s="93" t="n"/>
      <c r="I109" s="81">
        <f>IF(AND(F109="",G109=""),"",IF(F109&lt;7,F109+G109,F109+10+H109))</f>
        <v/>
      </c>
      <c r="J109" s="82">
        <f>IF(I109="","",IF(F109&lt;7,IF(I109&lt;=10,"Full Refresher","Moderate Refresher"),IF(I109&lt;27,"Light Refresher","Grade Ready")))</f>
        <v/>
      </c>
      <c r="K109" s="94" t="n"/>
      <c r="L109" s="95" t="n"/>
      <c r="M109" s="118">
        <f>IF($C$9&lt;&gt;"",IF(OR(K109=1, K109=2),IF(K109=1,M$7-L109,$P$7-L109),""),"")</f>
        <v/>
      </c>
      <c r="N109" s="93" t="n"/>
      <c r="O109" s="93" t="n"/>
      <c r="P109" s="118">
        <f>IF(AND(K109&gt;0,M109&gt;0,OR(N109&gt;0,O109&gt;0)),(M109/((N109*60)+O109))*60,"")</f>
        <v/>
      </c>
      <c r="Q109" s="122">
        <f>IFERROR(IF(OR(K109=1, K109=2),IF(K109=1,M109/$M$7,M109/$P$7),""),"")</f>
        <v/>
      </c>
      <c r="R109" s="93" t="n"/>
      <c r="S109" s="93" t="n"/>
      <c r="T109" s="96" t="n"/>
      <c r="U109" s="87">
        <f>IF(J109&lt;&gt;"",IF(J109="Full Refresher","Low Emerging Reader",IF(AND(K109&gt;0,Q109&lt;&gt;""),IF(OR(Q109&lt;=25%,AND(Q109&gt;25%,Q109&lt;=50%, R109=0)),"High Emerging Reader",IF(OR(AND(Q109&gt;25%,Q109&lt;51%, R109&gt;=1),AND(Q109&gt;50%,Q109&lt;76%,R109&lt;=2)),"Developing Reader",IF(OR(AND(Q109&gt;=51%, Q109&lt;76%,R109&gt;=3),AND(Q109&gt;75%,R109&lt;=4)),"Transitioning Reader",IF(AND(Q109&gt;75%,R109&gt;=5),"Reading At Grade Level","")))),"")),"")</f>
        <v/>
      </c>
      <c r="V109" s="97" t="n"/>
      <c r="Y109" s="221">
        <f>IF(C109&lt;&gt;"",R109/6,"")</f>
        <v/>
      </c>
    </row>
    <row r="110" ht="15" customHeight="1" s="346" thickBot="1">
      <c r="A110" s="6" t="n">
        <v>100</v>
      </c>
      <c r="B110" s="192" t="n"/>
      <c r="C110" s="98" t="n"/>
      <c r="D110" s="99" t="n"/>
      <c r="E110" s="100" t="n"/>
      <c r="F110" s="101" t="n"/>
      <c r="G110" s="102" t="n"/>
      <c r="H110" s="103" t="n"/>
      <c r="I110" s="104">
        <f>IF(AND(F110="",G110=""),"",IF(F110&lt;7,F110+G110,F110+10+H110))</f>
        <v/>
      </c>
      <c r="J110" s="105">
        <f>IF(I110="","",IF(F110&lt;7,IF(I110&lt;=10,"Full Refresher","Moderate Refresher"),IF(I110&lt;27,"Light Refresher","Grade Ready")))</f>
        <v/>
      </c>
      <c r="K110" s="106" t="n"/>
      <c r="L110" s="107" t="n"/>
      <c r="M110" s="119">
        <f>IF($C$9&lt;&gt;"",IF(OR(K110=1, K110=2),IF(K110=1,M$7-L110,$P$7-L110),""),"")</f>
        <v/>
      </c>
      <c r="N110" s="103" t="n"/>
      <c r="O110" s="103" t="n"/>
      <c r="P110" s="119">
        <f>IF(AND(K110&gt;0,M110&gt;0,OR(N110&gt;0,O110&gt;0)),(M110/((N110*60)+O110))*60,"")</f>
        <v/>
      </c>
      <c r="Q110" s="123">
        <f>IFERROR(IF(OR(K110=1, K110=2),IF(K110=1,M110/$M$7,M110/$P$7),""),"")</f>
        <v/>
      </c>
      <c r="R110" s="103" t="n"/>
      <c r="S110" s="103" t="n"/>
      <c r="T110" s="108" t="n"/>
      <c r="U110" s="109">
        <f>IF(J110&lt;&gt;"",IF(J110="Full Refresher","Low Emerging Reader",IF(AND(K110&gt;0,Q110&lt;&gt;""),IF(OR(Q110&lt;=25%,AND(Q110&gt;25%,Q110&lt;=50%, R110=0)),"High Emerging Reader",IF(OR(AND(Q110&gt;25%,Q110&lt;51%, R110&gt;=1),AND(Q110&gt;50%,Q110&lt;76%,R110&lt;=2)),"Developing Reader",IF(OR(AND(Q110&gt;=51%, Q110&lt;76%,R110&gt;=3),AND(Q110&gt;75%,R110&lt;=4)),"Transitioning Reader",IF(AND(Q110&gt;75%,R110&gt;=5),"Reading At Grade Level","")))),"")),"")</f>
        <v/>
      </c>
      <c r="V110" s="110" t="n"/>
      <c r="Y110" s="221">
        <f>IF(C110&lt;&gt;"",R110/6,"")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C10:U110">
    <filterColumn colId="11" hiddenButton="0" showButton="0"/>
  </autoFilter>
  <mergeCells count="25">
    <mergeCell ref="H7:H9"/>
    <mergeCell ref="N7:O7"/>
    <mergeCell ref="F5:I6"/>
    <mergeCell ref="A6:B6"/>
    <mergeCell ref="A7:B7"/>
    <mergeCell ref="L8:L9"/>
    <mergeCell ref="K5:P6"/>
    <mergeCell ref="P8:P9"/>
    <mergeCell ref="A3:B3"/>
    <mergeCell ref="J5:J9"/>
    <mergeCell ref="D7:E7"/>
    <mergeCell ref="F7:F9"/>
    <mergeCell ref="K8:K9"/>
    <mergeCell ref="M8:M9"/>
    <mergeCell ref="A5:B5"/>
    <mergeCell ref="N10:O10"/>
    <mergeCell ref="Q6:T9"/>
    <mergeCell ref="A8:B8"/>
    <mergeCell ref="A4:B4"/>
    <mergeCell ref="G4:H4"/>
    <mergeCell ref="G7:G9"/>
    <mergeCell ref="U6:V9"/>
    <mergeCell ref="I7:I9"/>
    <mergeCell ref="A9:B9"/>
    <mergeCell ref="N8:O9"/>
  </mergeCells>
  <conditionalFormatting sqref="C5">
    <cfRule type="containsText" priority="38" operator="containsText" dxfId="6" text="[enter school school id here]">
      <formula>NOT(ISERROR(SEARCH("[enter school school id here]",C5)))</formula>
    </cfRule>
  </conditionalFormatting>
  <conditionalFormatting sqref="C6">
    <cfRule type="containsText" priority="40" operator="containsText" dxfId="6" text="[enter teacher name here]">
      <formula>NOT(ISERROR(SEARCH("[enter teacher name here]",C6)))</formula>
    </cfRule>
  </conditionalFormatting>
  <conditionalFormatting sqref="C9">
    <cfRule type="containsText" priority="17" operator="containsText" dxfId="19" text="[choose language here]">
      <formula>NOT(ISERROR(SEARCH("[choose language here]",C9)))</formula>
    </cfRule>
  </conditionalFormatting>
  <conditionalFormatting sqref="D9:E9">
    <cfRule type="expression" priority="5" dxfId="18">
      <formula>$X$9=1</formula>
    </cfRule>
  </conditionalFormatting>
  <conditionalFormatting sqref="G11:G110">
    <cfRule type="expression" priority="9" dxfId="16">
      <formula>$F11 &gt; 6</formula>
    </cfRule>
  </conditionalFormatting>
  <conditionalFormatting sqref="H11:H110">
    <cfRule type="expression" priority="8" dxfId="16">
      <formula>$F11 &lt; 7</formula>
    </cfRule>
  </conditionalFormatting>
  <conditionalFormatting sqref="I4">
    <cfRule type="cellIs" priority="16" operator="notEqual" dxfId="15">
      <formula>$F$4</formula>
    </cfRule>
    <cfRule type="cellIs" priority="47" operator="lessThan" dxfId="0">
      <formula>#REF!+#REF!</formula>
    </cfRule>
    <cfRule type="cellIs" priority="48" operator="lessThan" dxfId="13">
      <formula>#REF!+#REF!</formula>
    </cfRule>
  </conditionalFormatting>
  <conditionalFormatting sqref="J11:J110">
    <cfRule type="containsText" priority="4" operator="containsText" dxfId="0" text="Full">
      <formula>NOT(ISERROR(SEARCH("Full",J11)))</formula>
    </cfRule>
  </conditionalFormatting>
  <conditionalFormatting sqref="K11:T110">
    <cfRule type="expression" priority="6" dxfId="11">
      <formula>$J11="Full Refresher"</formula>
    </cfRule>
  </conditionalFormatting>
  <conditionalFormatting sqref="U11:U110">
    <cfRule type="containsText" priority="1" operator="containsText" dxfId="10" text="Grade Level">
      <formula>NOT(ISERROR(SEARCH("Grade Level",U11)))</formula>
    </cfRule>
    <cfRule type="containsText" priority="2" operator="containsText" dxfId="0" text="High Emerging">
      <formula>NOT(ISERROR(SEARCH("High Emerging",U11)))</formula>
    </cfRule>
    <cfRule type="containsText" priority="3" operator="containsText" dxfId="0" text="Low">
      <formula>NOT(ISERROR(SEARCH("Low",U11)))</formula>
    </cfRule>
    <cfRule type="expression" priority="7" dxfId="8">
      <formula>AND($J11="Grade Ready",#REF!="Full Intervention")</formula>
    </cfRule>
  </conditionalFormatting>
  <dataValidations count="21">
    <dataValidation sqref="D11:D110" showDropDown="0" showInputMessage="1" showErrorMessage="1" allowBlank="1" type="list">
      <formula1>"Male, Female"</formula1>
    </dataValidation>
    <dataValidation sqref="E11:E110" showDropDown="0" showInputMessage="1" showErrorMessage="1" allowBlank="1" error="Enter the Date of Assessment in Correct Format (mm/dd/yy)" type="date" errorStyle="warning">
      <formula1>44197</formula1>
      <formula2>55153</formula2>
    </dataValidation>
    <dataValidation sqref="F11:F110" showDropDown="0" showInputMessage="1" showErrorMessage="1" allowBlank="1" error="Enter Score between 0 to 10" type="whole">
      <formula1>0</formula1>
      <formula2>10</formula2>
    </dataValidation>
    <dataValidation sqref="G4" showDropDown="0" showInputMessage="1" showErrorMessage="1" allowBlank="1" prompt="Choose Language here"/>
    <dataValidation sqref="A5 C4" showDropDown="0" showInputMessage="1" showErrorMessage="1" allowBlank="1" error="Enter the 6-digit School ID" type="whole">
      <formula1>100000</formula1>
      <formula2>999999</formula2>
    </dataValidation>
    <dataValidation sqref="C5" showDropDown="0" showInputMessage="1" showErrorMessage="1" allowBlank="0" error="Enter School Name" type="textLength" operator="greaterThan">
      <formula1>5</formula1>
    </dataValidation>
    <dataValidation sqref="I4" showDropDown="0" showInputMessage="1" showErrorMessage="1" allowBlank="1" operator="lessThanOrEqual"/>
    <dataValidation sqref="D6:E6" showDropDown="0" showInputMessage="1" showErrorMessage="1" allowBlank="1" type="whole">
      <formula1>0</formula1>
      <formula2>100</formula2>
    </dataValidation>
    <dataValidation sqref="T11:T110" showDropDown="0" showInputMessage="1" showErrorMessage="1" allowBlank="1" error="Enter Level between 1 to 4" type="list">
      <formula1>"Level 1, Level 2, Level 3, Level 4"</formula1>
    </dataValidation>
    <dataValidation sqref="S11:S110" showDropDown="0" showInputMessage="1" showErrorMessage="1" allowBlank="1" error="Enter Leaner Experience from 1 - 5" type="whole">
      <formula1>1</formula1>
      <formula2>5</formula2>
    </dataValidation>
    <dataValidation sqref="O11:O110" showDropDown="0" showInputMessage="1" showErrorMessage="1" allowBlank="1" errorTitle="Error Message" error="Number of seconds between 0 to 59" type="whole">
      <formula1>0</formula1>
      <formula2>59</formula2>
    </dataValidation>
    <dataValidation sqref="K11:K110" showDropDown="0" showInputMessage="1" showErrorMessage="1" allowBlank="1" error="Story 1 or 2" type="whole">
      <formula1>1</formula1>
      <formula2>2</formula2>
    </dataValidation>
    <dataValidation sqref="U11:V11 U12:U110" showDropDown="0" showInputMessage="1" showErrorMessage="1" allowBlank="1" error="Enter Level between 1 to 4"/>
    <dataValidation sqref="N11:N110" showDropDown="0" showInputMessage="1" showErrorMessage="1" allowBlank="1" errorTitle="Error Message" error="Must not exceed 2 minutes" type="whole">
      <formula1>0</formula1>
      <formula2>2</formula2>
    </dataValidation>
    <dataValidation sqref="M11:M110" showDropDown="0" showInputMessage="1" showErrorMessage="1" allowBlank="1" errorTitle="Error Message" error="Total Number of Words must be less than or equal to 96" operator="lessThanOrEqual"/>
    <dataValidation sqref="R11:R110" showDropDown="0" showInputMessage="1" showErrorMessage="1" allowBlank="1" error="Enter Answer between 0 to 6" type="whole">
      <formula1>0</formula1>
      <formula2>6</formula2>
    </dataValidation>
    <dataValidation sqref="H11:H110" showDropDown="0" showInputMessage="1" showErrorMessage="1" allowBlank="1" errorTitle="Error Message" error="Enter value less than or equal to 10_x000a_If Task 1 score is less than 7, Sentences should be left blank or empty." type="custom">
      <formula1>AND( $F11 &gt; 6, $H11 &lt;11)</formula1>
    </dataValidation>
    <dataValidation sqref="C3" showDropDown="0" showInputMessage="1" showErrorMessage="1" allowBlank="1" type="list">
      <formula1>"BoSY, MoSY, EoSY"</formula1>
    </dataValidation>
    <dataValidation sqref="L11:L110" showDropDown="0" showInputMessage="1" showErrorMessage="1" allowBlank="1" error="Enter Number of Miscue" type="whole">
      <formula1>0</formula1>
      <formula2>96</formula2>
    </dataValidation>
    <dataValidation sqref="D9:E9" showDropDown="0" showInputMessage="1" showErrorMessage="1" allowBlank="1" error="Total Words per Story must be between 94 to 96" type="whole">
      <formula1>94</formula1>
      <formula2>96</formula2>
    </dataValidation>
    <dataValidation sqref="G11:G110" showDropDown="0" showInputMessage="1" showErrorMessage="1" allowBlank="1" errorTitle="Error Message" error="Enter value less than equal to10_x000a_If Task 1 score is greater than 6, Words should be left blank or empty." type="custom">
      <formula1>AND($F11 &lt; 7, $G11 &lt;11)</formula1>
    </dataValidation>
  </dataValidations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Z110"/>
  <sheetViews>
    <sheetView zoomScale="77" workbookViewId="0">
      <pane xSplit="3" ySplit="10" topLeftCell="F11" activePane="bottomRight" state="frozen"/>
      <selection pane="topRight" activeCell="D1" sqref="D1"/>
      <selection pane="bottomLeft" activeCell="A9" sqref="A9"/>
      <selection pane="bottomRight" activeCell="W15" sqref="W15"/>
    </sheetView>
  </sheetViews>
  <sheetFormatPr baseColWidth="8" defaultColWidth="10.6640625" defaultRowHeight="0" customHeight="1" zeroHeight="1"/>
  <cols>
    <col width="4.6640625" customWidth="1" style="346" min="1" max="1"/>
    <col width="15.44140625" customWidth="1" style="3" min="2" max="2"/>
    <col width="27.5546875" customWidth="1" style="346" min="3" max="3"/>
    <col width="12.109375" customWidth="1" style="295" min="4" max="4"/>
    <col width="11.6640625" customWidth="1" style="295" min="5" max="5"/>
    <col width="10.33203125" customWidth="1" style="295" min="6" max="6"/>
    <col width="10.5546875" customWidth="1" style="295" min="7" max="7"/>
    <col width="9.44140625" customWidth="1" style="295" min="8" max="8"/>
    <col width="9.109375" customWidth="1" style="295" min="9" max="9"/>
    <col width="19.6640625" customWidth="1" style="2" min="10" max="10"/>
    <col width="10" customWidth="1" style="295" min="11" max="11"/>
    <col width="8.6640625" customWidth="1" style="295" min="12" max="12"/>
    <col width="9.5546875" customWidth="1" style="295" min="13" max="13"/>
    <col width="6.109375" customWidth="1" style="295" min="14" max="14"/>
    <col width="5.109375" customWidth="1" style="295" min="15" max="15"/>
    <col width="10.33203125" customWidth="1" style="295" min="16" max="16"/>
    <col width="9.5546875" customWidth="1" style="295" min="17" max="17"/>
    <col width="10.88671875" customWidth="1" style="295" min="18" max="18"/>
    <col width="11.6640625" customWidth="1" style="295" min="19" max="19"/>
    <col width="10.6640625" customWidth="1" style="295" min="20" max="20"/>
    <col width="21" customWidth="1" style="295" min="21" max="21"/>
    <col width="34" customWidth="1" style="346" min="22" max="22"/>
    <col width="8.88671875" customWidth="1" style="346" min="23" max="23"/>
    <col hidden="1" width="10.6640625" customWidth="1" style="346" min="24" max="16383"/>
  </cols>
  <sheetData>
    <row r="1" ht="22.2" customHeight="1" s="346">
      <c r="A1" t="inlineStr">
        <is>
          <t>CRLA2v1</t>
        </is>
      </c>
    </row>
    <row r="2" ht="18" customHeight="1" s="346" thickBot="1"/>
    <row r="3" ht="27" customHeight="1" s="346" thickBot="1">
      <c r="A3" s="297" t="inlineStr">
        <is>
          <t>ASSESSMENT TYPE</t>
        </is>
      </c>
      <c r="B3" s="298" t="n"/>
      <c r="C3" s="140">
        <f>'G2 MT Reading Scoresheet'!$C$3</f>
        <v/>
      </c>
    </row>
    <row r="4" ht="18.6" customHeight="1" s="346" thickBot="1">
      <c r="A4" s="314" t="inlineStr">
        <is>
          <t>School ID:</t>
        </is>
      </c>
      <c r="B4" s="285" t="n"/>
      <c r="C4" s="146">
        <f>'G2 MT Reading Scoresheet'!C4</f>
        <v/>
      </c>
      <c r="D4" s="312" t="inlineStr">
        <is>
          <t>Total Enrolment</t>
        </is>
      </c>
      <c r="E4" s="313" t="n"/>
      <c r="F4" s="124">
        <f>D6+E6</f>
        <v/>
      </c>
      <c r="G4" s="315" t="inlineStr">
        <is>
          <t>Total Assessed :</t>
        </is>
      </c>
      <c r="H4" s="316" t="n"/>
      <c r="I4" s="125">
        <f>COUNTIF(F11:F110,"&lt;&gt;")</f>
        <v/>
      </c>
      <c r="J4" s="61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3" t="n"/>
    </row>
    <row r="5" ht="18" customHeight="1" s="346">
      <c r="A5" s="305" t="inlineStr">
        <is>
          <t>Schoo Name:</t>
        </is>
      </c>
      <c r="B5" s="306" t="n"/>
      <c r="C5" s="147">
        <f>'G2 MT Reading Scoresheet'!C5</f>
        <v/>
      </c>
      <c r="D5" s="142" t="inlineStr">
        <is>
          <t>Male</t>
        </is>
      </c>
      <c r="E5" s="139" t="inlineStr">
        <is>
          <t>Female</t>
        </is>
      </c>
      <c r="F5" s="289" t="inlineStr">
        <is>
          <t>Assessment Part 1
(Word Recognition and Sentences Reading)</t>
        </is>
      </c>
      <c r="G5" s="290" t="n"/>
      <c r="H5" s="290" t="n"/>
      <c r="I5" s="290" t="n"/>
      <c r="J5" s="299" t="inlineStr">
        <is>
          <t>WORDS SCORE 
0 to 10 – Full Refresher
11 to 16 – Moderate Refresher
SENTENCE SCORE 
17 to 26 – Light Refresher
27 to 30 – Grade Ready</t>
        </is>
      </c>
      <c r="K5" s="294" t="inlineStr">
        <is>
          <t>Assessment Part 2
 (Reading Fluency and Comprehension)</t>
        </is>
      </c>
      <c r="Q5" s="114" t="n"/>
      <c r="R5" s="114" t="n"/>
      <c r="S5" s="114" t="n"/>
      <c r="T5" s="114" t="n"/>
      <c r="U5" s="114" t="n"/>
      <c r="V5" s="115" t="n"/>
    </row>
    <row r="6" ht="19.95" customHeight="1" s="346">
      <c r="A6" s="293" t="inlineStr">
        <is>
          <t>Teacher:</t>
        </is>
      </c>
      <c r="B6" s="285" t="n"/>
      <c r="C6" s="147">
        <f>'G2 MT Reading Scoresheet'!C6</f>
        <v/>
      </c>
      <c r="D6" s="143">
        <f>'G2 MT Reading Scoresheet'!D6</f>
        <v/>
      </c>
      <c r="E6" s="128">
        <f>'G2 MT Reading Scoresheet'!E6</f>
        <v/>
      </c>
      <c r="F6" s="291" t="n"/>
      <c r="G6" s="292" t="n"/>
      <c r="H6" s="292" t="n"/>
      <c r="I6" s="292" t="n"/>
      <c r="J6" s="300" t="n"/>
      <c r="K6" s="291" t="n"/>
      <c r="L6" s="292" t="n"/>
      <c r="M6" s="292" t="n"/>
      <c r="N6" s="292" t="n"/>
      <c r="O6" s="292" t="n"/>
      <c r="P6" s="292" t="n"/>
      <c r="Q6" s="309" t="n"/>
      <c r="R6" s="290" t="n"/>
      <c r="S6" s="290" t="n"/>
      <c r="T6" s="310" t="n"/>
      <c r="U6" s="317" t="n"/>
      <c r="V6" s="300" t="n"/>
    </row>
    <row r="7" ht="29.4" customHeight="1" s="346">
      <c r="A7" s="293" t="inlineStr">
        <is>
          <t>Grade:</t>
        </is>
      </c>
      <c r="B7" s="285" t="n"/>
      <c r="C7" s="147">
        <f>'G2 MT Reading Scoresheet'!C7</f>
        <v/>
      </c>
      <c r="D7" s="301" t="inlineStr">
        <is>
          <t>Total Words per Story</t>
        </is>
      </c>
      <c r="E7" s="285" t="n"/>
      <c r="F7" s="302" t="inlineStr">
        <is>
          <t>Task 1 – Write the number of letters sounded out correctly</t>
        </is>
      </c>
      <c r="G7" s="286" t="inlineStr">
        <is>
          <t>Rhymes 
(Task 2) 
If task 1 score is 0 to 6</t>
        </is>
      </c>
      <c r="H7" s="286" t="inlineStr">
        <is>
          <t>Sentence
 (Task 2) 
If task 1 score is 7 to 10
Task 2L=10</t>
        </is>
      </c>
      <c r="I7" s="286" t="inlineStr">
        <is>
          <t>Total Score = Task 1 Score + Task 2L+Task 2H Score</t>
        </is>
      </c>
      <c r="J7" s="300" t="n"/>
      <c r="K7" s="126" t="inlineStr">
        <is>
          <t>Total Words Per Story</t>
        </is>
      </c>
      <c r="L7" s="284" t="inlineStr">
        <is>
          <t>Story 1</t>
        </is>
      </c>
      <c r="M7" s="117">
        <f>_xlfn.IFNA(IF(X9=1,Y9,D9),"")</f>
        <v/>
      </c>
      <c r="N7" s="284" t="inlineStr">
        <is>
          <t>Story 2</t>
        </is>
      </c>
      <c r="O7" s="285" t="n"/>
      <c r="P7" s="117">
        <f>_xlfn.IFNA(IF(X9=1,Z9,E9),"")</f>
        <v/>
      </c>
      <c r="Q7" s="311" t="n"/>
      <c r="T7" s="300" t="n"/>
      <c r="V7" s="300" t="n"/>
    </row>
    <row r="8" ht="17.4" customHeight="1" s="346">
      <c r="A8" s="293" t="inlineStr">
        <is>
          <t>Section:</t>
        </is>
      </c>
      <c r="B8" s="285" t="n"/>
      <c r="C8" s="147">
        <f>'G2 MT Reading Scoresheet'!C8</f>
        <v/>
      </c>
      <c r="D8" s="144" t="inlineStr">
        <is>
          <t>Story 1</t>
        </is>
      </c>
      <c r="E8" s="141" t="inlineStr">
        <is>
          <t>Story 2</t>
        </is>
      </c>
      <c r="F8" s="303" t="n"/>
      <c r="G8" s="287" t="n"/>
      <c r="H8" s="287" t="n"/>
      <c r="I8" s="287" t="n"/>
      <c r="J8" s="300" t="n"/>
      <c r="K8" s="302" t="inlineStr">
        <is>
          <t>Story Number 
1 or 2</t>
        </is>
      </c>
      <c r="L8" s="286" t="inlineStr">
        <is>
          <t>Total Reading Miscues</t>
        </is>
      </c>
      <c r="M8" s="286" t="inlineStr">
        <is>
          <t>Number of words read within 2 mins</t>
        </is>
      </c>
      <c r="N8" s="286" t="inlineStr">
        <is>
          <t>Total Time Used in Reading 
(Max : 2 Mins)</t>
        </is>
      </c>
      <c r="O8" s="319" t="n"/>
      <c r="P8" s="296" t="inlineStr">
        <is>
          <t>Number of Words per Minute (WPM)</t>
        </is>
      </c>
      <c r="Q8" s="311" t="n"/>
      <c r="T8" s="300" t="n"/>
      <c r="V8" s="300" t="n"/>
    </row>
    <row r="9" ht="20.4" customHeight="1" s="346" thickBot="1">
      <c r="A9" s="318" t="inlineStr">
        <is>
          <t>Language:</t>
        </is>
      </c>
      <c r="B9" s="290" t="n"/>
      <c r="C9" s="148" t="inlineStr">
        <is>
          <t>Filipino</t>
        </is>
      </c>
      <c r="D9" s="145" t="n"/>
      <c r="E9" s="129" t="n"/>
      <c r="F9" s="304" t="n"/>
      <c r="G9" s="288" t="n"/>
      <c r="H9" s="288" t="n"/>
      <c r="I9" s="288" t="n"/>
      <c r="J9" s="300" t="n"/>
      <c r="K9" s="304" t="n"/>
      <c r="L9" s="288" t="n"/>
      <c r="M9" s="288" t="n"/>
      <c r="N9" s="320" t="n"/>
      <c r="O9" s="321" t="n"/>
      <c r="P9" s="288" t="n"/>
      <c r="Q9" s="311" t="n"/>
      <c r="T9" s="300" t="n"/>
      <c r="V9" s="300" t="n"/>
      <c r="X9" s="111">
        <f>IF(_xlfn.IFNA(VLOOKUP($C$9,List!$G$2:$M$20,1,0),"")=C9,1,0)</f>
        <v/>
      </c>
      <c r="Y9" s="111">
        <f>VLOOKUP($C$9,List!$G$2:$M$20,4,0)</f>
        <v/>
      </c>
      <c r="Z9" s="111">
        <f>VLOOKUP($C$9,List!$G$2:$M$20,7,0)</f>
        <v/>
      </c>
    </row>
    <row r="10" ht="35.4" customHeight="1" s="346" thickBot="1">
      <c r="A10" s="22" t="inlineStr">
        <is>
          <t>S/N</t>
        </is>
      </c>
      <c r="B10" s="23" t="inlineStr">
        <is>
          <t>LRN</t>
        </is>
      </c>
      <c r="C10" s="18" t="inlineStr">
        <is>
          <t>Name of Learner</t>
        </is>
      </c>
      <c r="D10" s="24" t="inlineStr">
        <is>
          <t>Sex</t>
        </is>
      </c>
      <c r="E10" s="25" t="inlineStr">
        <is>
          <t>Date of Asessment</t>
        </is>
      </c>
      <c r="F10" s="130" t="inlineStr">
        <is>
          <t>Task 1 
(10)</t>
        </is>
      </c>
      <c r="G10" s="26" t="inlineStr">
        <is>
          <t>Words
(10)</t>
        </is>
      </c>
      <c r="H10" s="26" t="inlineStr">
        <is>
          <t>Sentences
(10)</t>
        </is>
      </c>
      <c r="I10" s="26" t="inlineStr">
        <is>
          <t>Total Score</t>
        </is>
      </c>
      <c r="J10" s="19" t="inlineStr">
        <is>
          <t>Part 1 Reading Level</t>
        </is>
      </c>
      <c r="K10" s="27" t="inlineStr">
        <is>
          <t>Story Number</t>
        </is>
      </c>
      <c r="L10" s="116" t="inlineStr">
        <is>
          <t>Number of Miscue</t>
        </is>
      </c>
      <c r="M10" s="307" t="inlineStr">
        <is>
          <t>Words Read</t>
        </is>
      </c>
      <c r="N10" s="307" t="inlineStr">
        <is>
          <t>Total 
Mins    Secs</t>
        </is>
      </c>
      <c r="O10" s="308" t="n"/>
      <c r="P10" s="307" t="inlineStr">
        <is>
          <t>WPM</t>
        </is>
      </c>
      <c r="Q10" s="28" t="inlineStr">
        <is>
          <t>% of Correct Words Read</t>
        </is>
      </c>
      <c r="R10" s="307" t="inlineStr">
        <is>
          <t>Total Correct Answer</t>
        </is>
      </c>
      <c r="S10" s="28" t="inlineStr">
        <is>
          <t>Leaner Experience
(Rating 1-5)</t>
        </is>
      </c>
      <c r="T10" s="29" t="inlineStr">
        <is>
          <t>Observation Level</t>
        </is>
      </c>
      <c r="U10" s="59" t="inlineStr">
        <is>
          <t>READING PROFILE</t>
        </is>
      </c>
      <c r="V10" s="17" t="inlineStr">
        <is>
          <t>Remarks</t>
        </is>
      </c>
    </row>
    <row r="11" ht="14.4" customHeight="1" s="346">
      <c r="A11" s="328" t="n">
        <v>1</v>
      </c>
      <c r="B11" s="120">
        <f>IF('G2 MT Reading Scoresheet'!B11&lt;&gt;"",'G2 MT Reading Scoresheet'!B11,"")</f>
        <v/>
      </c>
      <c r="C11" s="131">
        <f>IF('G2 MT Reading Scoresheet'!C11&lt;&gt;"",'G2 MT Reading Scoresheet'!C11,"")</f>
        <v/>
      </c>
      <c r="D11" s="120">
        <f>IF('G2 MT Reading Scoresheet'!D11&lt;&gt;"",'G2 MT Reading Scoresheet'!D11,"")</f>
        <v/>
      </c>
      <c r="E11" s="132">
        <f>IF('G2 MT Reading Scoresheet'!E11&lt;&gt;"",'G2 MT Reading Scoresheet'!E11,"")</f>
        <v/>
      </c>
      <c r="F11" s="261">
        <f>IF('G2 MT Reading Scoresheet'!F11&lt;&gt;"",'G2 MT Reading Scoresheet'!F11,"")</f>
        <v/>
      </c>
      <c r="G11" s="262">
        <f>IF('G2 MT Reading Scoresheet'!G11&lt;&gt;"",'G2 MT Reading Scoresheet'!G11,"")</f>
        <v/>
      </c>
      <c r="H11" s="262">
        <f>IF('G2 MT Reading Scoresheet'!H11&lt;&gt;"",'G2 MT Reading Scoresheet'!H11,"")</f>
        <v/>
      </c>
      <c r="I11" s="68">
        <f>IF('G2 MT Reading Scoresheet'!I11&lt;&gt;"",'G2 MT Reading Scoresheet'!I11,"")</f>
        <v/>
      </c>
      <c r="J11" s="69">
        <f>IF('G2 MT Reading Scoresheet'!J11&lt;&gt;"",'G2 MT Reading Scoresheet'!J11,"")</f>
        <v/>
      </c>
      <c r="K11" s="263">
        <f>IF('G2 MT Reading Scoresheet'!K11&lt;&gt;"",'G2 MT Reading Scoresheet'!K11,"")</f>
        <v/>
      </c>
      <c r="L11" s="264">
        <f>IF('G2 MT Reading Scoresheet'!L11&lt;&gt;"",'G2 MT Reading Scoresheet'!L11,"")</f>
        <v/>
      </c>
      <c r="M11" s="120">
        <f>IF('G2 MT Reading Scoresheet'!M11&lt;&gt;"",'G2 MT Reading Scoresheet'!M11,"")</f>
        <v/>
      </c>
      <c r="N11" s="265">
        <f>IF('G2 MT Reading Scoresheet'!N11&lt;&gt;"",'G2 MT Reading Scoresheet'!N11,"")</f>
        <v/>
      </c>
      <c r="O11" s="265">
        <f>IF('G2 MT Reading Scoresheet'!O11&lt;&gt;"",'G2 MT Reading Scoresheet'!O11,"")</f>
        <v/>
      </c>
      <c r="P11" s="120">
        <f>IF('G2 MT Reading Scoresheet'!P11&lt;&gt;"",'G2 MT Reading Scoresheet'!P11,"")</f>
        <v/>
      </c>
      <c r="Q11" s="121">
        <f>IF('G2 MT Reading Scoresheet'!Q11&lt;&gt;"",'G2 MT Reading Scoresheet'!Q11,"")</f>
        <v/>
      </c>
      <c r="R11" s="265">
        <f>IF('G2 MT Reading Scoresheet'!R11&lt;&gt;"",'G2 MT Reading Scoresheet'!R11,"")</f>
        <v/>
      </c>
      <c r="S11" s="265">
        <f>IF('G2 MT Reading Scoresheet'!S11&lt;&gt;"",'G2 MT Reading Scoresheet'!S11,"")</f>
        <v/>
      </c>
      <c r="T11" s="266">
        <f>IF('G2 MT Reading Scoresheet'!T11&lt;&gt;"",'G2 MT Reading Scoresheet'!T11,"")</f>
        <v/>
      </c>
      <c r="U11" s="74">
        <f>IF('G2 MT Reading Scoresheet'!U11&lt;&gt;"",'G2 MT Reading Scoresheet'!U11,"")</f>
        <v/>
      </c>
      <c r="V11" s="267" t="n"/>
      <c r="Y11" s="221">
        <f>IF(C11&lt;&gt;"",R11/6,"")</f>
        <v/>
      </c>
    </row>
    <row r="12" ht="14.4" customHeight="1" s="346">
      <c r="A12" s="4" t="n">
        <v>2</v>
      </c>
      <c r="B12" s="118">
        <f>IF('G2 MT Reading Scoresheet'!B12&lt;&gt;"",'G2 MT Reading Scoresheet'!B12,"")</f>
        <v/>
      </c>
      <c r="C12" s="133">
        <f>IF('G2 MT Reading Scoresheet'!C12&lt;&gt;"",'G2 MT Reading Scoresheet'!C12,"")</f>
        <v/>
      </c>
      <c r="D12" s="134">
        <f>IF('G2 MT Reading Scoresheet'!D12&lt;&gt;"",'G2 MT Reading Scoresheet'!D12,"")</f>
        <v/>
      </c>
      <c r="E12" s="135">
        <f>IF('G2 MT Reading Scoresheet'!E12&lt;&gt;"",'G2 MT Reading Scoresheet'!E12,"")</f>
        <v/>
      </c>
      <c r="F12" s="268">
        <f>IF('G2 MT Reading Scoresheet'!F12&lt;&gt;"",'G2 MT Reading Scoresheet'!F12,"")</f>
        <v/>
      </c>
      <c r="G12" s="269">
        <f>IF('G2 MT Reading Scoresheet'!G12&lt;&gt;"",'G2 MT Reading Scoresheet'!G12,"")</f>
        <v/>
      </c>
      <c r="H12" s="269">
        <f>IF('G2 MT Reading Scoresheet'!H12&lt;&gt;"",'G2 MT Reading Scoresheet'!H12,"")</f>
        <v/>
      </c>
      <c r="I12" s="81">
        <f>IF('G2 MT Reading Scoresheet'!I12&lt;&gt;"",'G2 MT Reading Scoresheet'!I12,"")</f>
        <v/>
      </c>
      <c r="J12" s="82">
        <f>IF('G2 MT Reading Scoresheet'!J12&lt;&gt;"",'G2 MT Reading Scoresheet'!J12,"")</f>
        <v/>
      </c>
      <c r="K12" s="270">
        <f>IF('G2 MT Reading Scoresheet'!K12&lt;&gt;"",'G2 MT Reading Scoresheet'!K12,"")</f>
        <v/>
      </c>
      <c r="L12" s="87">
        <f>IF('G2 MT Reading Scoresheet'!L12&lt;&gt;"",'G2 MT Reading Scoresheet'!L12,"")</f>
        <v/>
      </c>
      <c r="M12" s="118">
        <f>IF('G2 MT Reading Scoresheet'!M12&lt;&gt;"",'G2 MT Reading Scoresheet'!M12,"")</f>
        <v/>
      </c>
      <c r="N12" s="81">
        <f>IF('G2 MT Reading Scoresheet'!N12&lt;&gt;"",'G2 MT Reading Scoresheet'!N12,"")</f>
        <v/>
      </c>
      <c r="O12" s="81">
        <f>IF('G2 MT Reading Scoresheet'!O12&lt;&gt;"",'G2 MT Reading Scoresheet'!O12,"")</f>
        <v/>
      </c>
      <c r="P12" s="118">
        <f>IF('G2 MT Reading Scoresheet'!P12&lt;&gt;"",'G2 MT Reading Scoresheet'!P12,"")</f>
        <v/>
      </c>
      <c r="Q12" s="122">
        <f>IF('G2 MT Reading Scoresheet'!Q12&lt;&gt;"",'G2 MT Reading Scoresheet'!Q12,"")</f>
        <v/>
      </c>
      <c r="R12" s="81">
        <f>IF('G2 MT Reading Scoresheet'!R12&lt;&gt;"",'G2 MT Reading Scoresheet'!R12,"")</f>
        <v/>
      </c>
      <c r="S12" s="81">
        <f>IF('G2 MT Reading Scoresheet'!S12&lt;&gt;"",'G2 MT Reading Scoresheet'!S12,"")</f>
        <v/>
      </c>
      <c r="T12" s="82">
        <f>IF('G2 MT Reading Scoresheet'!T12&lt;&gt;"",'G2 MT Reading Scoresheet'!T12,"")</f>
        <v/>
      </c>
      <c r="U12" s="87">
        <f>IF('G2 MT Reading Scoresheet'!U12&lt;&gt;"",'G2 MT Reading Scoresheet'!U12,"")</f>
        <v/>
      </c>
      <c r="V12" s="271" t="n"/>
      <c r="Y12" s="221">
        <f>IF(C12&lt;&gt;"",R12/6,"")</f>
        <v/>
      </c>
    </row>
    <row r="13" ht="14.4" customHeight="1" s="346">
      <c r="A13" s="5" t="n">
        <v>3</v>
      </c>
      <c r="B13" s="118">
        <f>IF('G2 MT Reading Scoresheet'!B13&lt;&gt;"",'G2 MT Reading Scoresheet'!B13,"")</f>
        <v/>
      </c>
      <c r="C13" s="133">
        <f>IF('G2 MT Reading Scoresheet'!C13&lt;&gt;"",'G2 MT Reading Scoresheet'!C13,"")</f>
        <v/>
      </c>
      <c r="D13" s="134">
        <f>IF('G2 MT Reading Scoresheet'!D13&lt;&gt;"",'G2 MT Reading Scoresheet'!D13,"")</f>
        <v/>
      </c>
      <c r="E13" s="135">
        <f>IF('G2 MT Reading Scoresheet'!E13&lt;&gt;"",'G2 MT Reading Scoresheet'!E13,"")</f>
        <v/>
      </c>
      <c r="F13" s="272">
        <f>IF('G2 MT Reading Scoresheet'!F13&lt;&gt;"",'G2 MT Reading Scoresheet'!F13,"")</f>
        <v/>
      </c>
      <c r="G13" s="262">
        <f>IF('G2 MT Reading Scoresheet'!G13&lt;&gt;"",'G2 MT Reading Scoresheet'!G13,"")</f>
        <v/>
      </c>
      <c r="H13" s="273">
        <f>IF('G2 MT Reading Scoresheet'!H13&lt;&gt;"",'G2 MT Reading Scoresheet'!H13,"")</f>
        <v/>
      </c>
      <c r="I13" s="81">
        <f>IF('G2 MT Reading Scoresheet'!I13&lt;&gt;"",'G2 MT Reading Scoresheet'!I13,"")</f>
        <v/>
      </c>
      <c r="J13" s="82">
        <f>IF('G2 MT Reading Scoresheet'!J13&lt;&gt;"",'G2 MT Reading Scoresheet'!J13,"")</f>
        <v/>
      </c>
      <c r="K13" s="274">
        <f>IF('G2 MT Reading Scoresheet'!K13&lt;&gt;"",'G2 MT Reading Scoresheet'!K13,"")</f>
        <v/>
      </c>
      <c r="L13" s="275">
        <f>IF('G2 MT Reading Scoresheet'!L13&lt;&gt;"",'G2 MT Reading Scoresheet'!L13,"")</f>
        <v/>
      </c>
      <c r="M13" s="118">
        <f>IF('G2 MT Reading Scoresheet'!M13&lt;&gt;"",'G2 MT Reading Scoresheet'!M13,"")</f>
        <v/>
      </c>
      <c r="N13" s="273">
        <f>IF('G2 MT Reading Scoresheet'!N13&lt;&gt;"",'G2 MT Reading Scoresheet'!N13,"")</f>
        <v/>
      </c>
      <c r="O13" s="273">
        <f>IF('G2 MT Reading Scoresheet'!O13&lt;&gt;"",'G2 MT Reading Scoresheet'!O13,"")</f>
        <v/>
      </c>
      <c r="P13" s="118">
        <f>IF('G2 MT Reading Scoresheet'!P13&lt;&gt;"",'G2 MT Reading Scoresheet'!P13,"")</f>
        <v/>
      </c>
      <c r="Q13" s="122">
        <f>IF('G2 MT Reading Scoresheet'!Q13&lt;&gt;"",'G2 MT Reading Scoresheet'!Q13,"")</f>
        <v/>
      </c>
      <c r="R13" s="273">
        <f>IF('G2 MT Reading Scoresheet'!R13&lt;&gt;"",'G2 MT Reading Scoresheet'!R13,"")</f>
        <v/>
      </c>
      <c r="S13" s="273">
        <f>IF('G2 MT Reading Scoresheet'!S13&lt;&gt;"",'G2 MT Reading Scoresheet'!S13,"")</f>
        <v/>
      </c>
      <c r="T13" s="276">
        <f>IF('G2 MT Reading Scoresheet'!T13&lt;&gt;"",'G2 MT Reading Scoresheet'!T13,"")</f>
        <v/>
      </c>
      <c r="U13" s="87">
        <f>IF('G2 MT Reading Scoresheet'!U13&lt;&gt;"",'G2 MT Reading Scoresheet'!U13,"")</f>
        <v/>
      </c>
      <c r="V13" s="277" t="n"/>
      <c r="Y13" s="221">
        <f>IF(C13&lt;&gt;"",R13/6,"")</f>
        <v/>
      </c>
    </row>
    <row r="14" ht="14.4" customHeight="1" s="346">
      <c r="A14" s="4" t="n">
        <v>4</v>
      </c>
      <c r="B14" s="118">
        <f>IF('G2 MT Reading Scoresheet'!B14&lt;&gt;"",'G2 MT Reading Scoresheet'!B14,"")</f>
        <v/>
      </c>
      <c r="C14" s="133">
        <f>IF('G2 MT Reading Scoresheet'!C14&lt;&gt;"",'G2 MT Reading Scoresheet'!C14,"")</f>
        <v/>
      </c>
      <c r="D14" s="134">
        <f>IF('G2 MT Reading Scoresheet'!D14&lt;&gt;"",'G2 MT Reading Scoresheet'!D14,"")</f>
        <v/>
      </c>
      <c r="E14" s="135">
        <f>IF('G2 MT Reading Scoresheet'!E14&lt;&gt;"",'G2 MT Reading Scoresheet'!E14,"")</f>
        <v/>
      </c>
      <c r="F14" s="268">
        <f>IF('G2 MT Reading Scoresheet'!F14&lt;&gt;"",'G2 MT Reading Scoresheet'!F14,"")</f>
        <v/>
      </c>
      <c r="G14" s="269">
        <f>IF('G2 MT Reading Scoresheet'!G14&lt;&gt;"",'G2 MT Reading Scoresheet'!G14,"")</f>
        <v/>
      </c>
      <c r="H14" s="81">
        <f>IF('G2 MT Reading Scoresheet'!H14&lt;&gt;"",'G2 MT Reading Scoresheet'!H14,"")</f>
        <v/>
      </c>
      <c r="I14" s="81">
        <f>IF('G2 MT Reading Scoresheet'!I14&lt;&gt;"",'G2 MT Reading Scoresheet'!I14,"")</f>
        <v/>
      </c>
      <c r="J14" s="82">
        <f>IF('G2 MT Reading Scoresheet'!J14&lt;&gt;"",'G2 MT Reading Scoresheet'!J14,"")</f>
        <v/>
      </c>
      <c r="K14" s="270">
        <f>IF('G2 MT Reading Scoresheet'!K14&lt;&gt;"",'G2 MT Reading Scoresheet'!K14,"")</f>
        <v/>
      </c>
      <c r="L14" s="87">
        <f>IF('G2 MT Reading Scoresheet'!L14&lt;&gt;"",'G2 MT Reading Scoresheet'!L14,"")</f>
        <v/>
      </c>
      <c r="M14" s="118">
        <f>IF('G2 MT Reading Scoresheet'!M14&lt;&gt;"",'G2 MT Reading Scoresheet'!M14,"")</f>
        <v/>
      </c>
      <c r="N14" s="81">
        <f>IF('G2 MT Reading Scoresheet'!N14&lt;&gt;"",'G2 MT Reading Scoresheet'!N14,"")</f>
        <v/>
      </c>
      <c r="O14" s="81">
        <f>IF('G2 MT Reading Scoresheet'!O14&lt;&gt;"",'G2 MT Reading Scoresheet'!O14,"")</f>
        <v/>
      </c>
      <c r="P14" s="118">
        <f>IF('G2 MT Reading Scoresheet'!P14&lt;&gt;"",'G2 MT Reading Scoresheet'!P14,"")</f>
        <v/>
      </c>
      <c r="Q14" s="122">
        <f>IF('G2 MT Reading Scoresheet'!Q14&lt;&gt;"",'G2 MT Reading Scoresheet'!Q14,"")</f>
        <v/>
      </c>
      <c r="R14" s="81">
        <f>IF('G2 MT Reading Scoresheet'!R14&lt;&gt;"",'G2 MT Reading Scoresheet'!R14,"")</f>
        <v/>
      </c>
      <c r="S14" s="81">
        <f>IF('G2 MT Reading Scoresheet'!S14&lt;&gt;"",'G2 MT Reading Scoresheet'!S14,"")</f>
        <v/>
      </c>
      <c r="T14" s="82">
        <f>IF('G2 MT Reading Scoresheet'!T14&lt;&gt;"",'G2 MT Reading Scoresheet'!T14,"")</f>
        <v/>
      </c>
      <c r="U14" s="87">
        <f>IF('G2 MT Reading Scoresheet'!U14&lt;&gt;"",'G2 MT Reading Scoresheet'!U14,"")</f>
        <v/>
      </c>
      <c r="V14" s="271" t="n"/>
      <c r="Y14" s="221">
        <f>IF(C14&lt;&gt;"",R14/6,"")</f>
        <v/>
      </c>
    </row>
    <row r="15" ht="14.4" customHeight="1" s="346">
      <c r="A15" s="5" t="n">
        <v>5</v>
      </c>
      <c r="B15" s="118">
        <f>IF('G2 MT Reading Scoresheet'!B15&lt;&gt;"",'G2 MT Reading Scoresheet'!B15,"")</f>
        <v/>
      </c>
      <c r="C15" s="133">
        <f>IF('G2 MT Reading Scoresheet'!C15&lt;&gt;"",'G2 MT Reading Scoresheet'!C15,"")</f>
        <v/>
      </c>
      <c r="D15" s="134">
        <f>IF('G2 MT Reading Scoresheet'!D15&lt;&gt;"",'G2 MT Reading Scoresheet'!D15,"")</f>
        <v/>
      </c>
      <c r="E15" s="135">
        <f>IF('G2 MT Reading Scoresheet'!E15&lt;&gt;"",'G2 MT Reading Scoresheet'!E15,"")</f>
        <v/>
      </c>
      <c r="F15" s="272">
        <f>IF('G2 MT Reading Scoresheet'!F15&lt;&gt;"",'G2 MT Reading Scoresheet'!F15,"")</f>
        <v/>
      </c>
      <c r="G15" s="262">
        <f>IF('G2 MT Reading Scoresheet'!G15&lt;&gt;"",'G2 MT Reading Scoresheet'!G15,"")</f>
        <v/>
      </c>
      <c r="H15" s="273">
        <f>IF('G2 MT Reading Scoresheet'!H15&lt;&gt;"",'G2 MT Reading Scoresheet'!H15,"")</f>
        <v/>
      </c>
      <c r="I15" s="81">
        <f>IF('G2 MT Reading Scoresheet'!I15&lt;&gt;"",'G2 MT Reading Scoresheet'!I15,"")</f>
        <v/>
      </c>
      <c r="J15" s="82">
        <f>IF('G2 MT Reading Scoresheet'!J15&lt;&gt;"",'G2 MT Reading Scoresheet'!J15,"")</f>
        <v/>
      </c>
      <c r="K15" s="274">
        <f>IF('G2 MT Reading Scoresheet'!K15&lt;&gt;"",'G2 MT Reading Scoresheet'!K15,"")</f>
        <v/>
      </c>
      <c r="L15" s="275">
        <f>IF('G2 MT Reading Scoresheet'!L15&lt;&gt;"",'G2 MT Reading Scoresheet'!L15,"")</f>
        <v/>
      </c>
      <c r="M15" s="118">
        <f>IF('G2 MT Reading Scoresheet'!M15&lt;&gt;"",'G2 MT Reading Scoresheet'!M15,"")</f>
        <v/>
      </c>
      <c r="N15" s="273">
        <f>IF('G2 MT Reading Scoresheet'!N15&lt;&gt;"",'G2 MT Reading Scoresheet'!N15,"")</f>
        <v/>
      </c>
      <c r="O15" s="273">
        <f>IF('G2 MT Reading Scoresheet'!O15&lt;&gt;"",'G2 MT Reading Scoresheet'!O15,"")</f>
        <v/>
      </c>
      <c r="P15" s="118">
        <f>IF('G2 MT Reading Scoresheet'!P15&lt;&gt;"",'G2 MT Reading Scoresheet'!P15,"")</f>
        <v/>
      </c>
      <c r="Q15" s="122">
        <f>IF('G2 MT Reading Scoresheet'!Q15&lt;&gt;"",'G2 MT Reading Scoresheet'!Q15,"")</f>
        <v/>
      </c>
      <c r="R15" s="273">
        <f>IF('G2 MT Reading Scoresheet'!R15&lt;&gt;"",'G2 MT Reading Scoresheet'!R15,"")</f>
        <v/>
      </c>
      <c r="S15" s="273">
        <f>IF('G2 MT Reading Scoresheet'!S15&lt;&gt;"",'G2 MT Reading Scoresheet'!S15,"")</f>
        <v/>
      </c>
      <c r="T15" s="276">
        <f>IF('G2 MT Reading Scoresheet'!T15&lt;&gt;"",'G2 MT Reading Scoresheet'!T15,"")</f>
        <v/>
      </c>
      <c r="U15" s="87">
        <f>IF('G2 MT Reading Scoresheet'!U15&lt;&gt;"",'G2 MT Reading Scoresheet'!U15,"")</f>
        <v/>
      </c>
      <c r="V15" s="277" t="n"/>
      <c r="Y15" s="221">
        <f>IF(C15&lt;&gt;"",R15/6,"")</f>
        <v/>
      </c>
    </row>
    <row r="16" ht="14.4" customHeight="1" s="346">
      <c r="A16" s="4" t="n">
        <v>6</v>
      </c>
      <c r="B16" s="118">
        <f>IF('G2 MT Reading Scoresheet'!B16&lt;&gt;"",'G2 MT Reading Scoresheet'!B16,"")</f>
        <v/>
      </c>
      <c r="C16" s="133">
        <f>IF('G2 MT Reading Scoresheet'!C16&lt;&gt;"",'G2 MT Reading Scoresheet'!C16,"")</f>
        <v/>
      </c>
      <c r="D16" s="134">
        <f>IF('G2 MT Reading Scoresheet'!D16&lt;&gt;"",'G2 MT Reading Scoresheet'!D16,"")</f>
        <v/>
      </c>
      <c r="E16" s="135">
        <f>IF('G2 MT Reading Scoresheet'!E16&lt;&gt;"",'G2 MT Reading Scoresheet'!E16,"")</f>
        <v/>
      </c>
      <c r="F16" s="268">
        <f>IF('G2 MT Reading Scoresheet'!F16&lt;&gt;"",'G2 MT Reading Scoresheet'!F16,"")</f>
        <v/>
      </c>
      <c r="G16" s="269">
        <f>IF('G2 MT Reading Scoresheet'!G16&lt;&gt;"",'G2 MT Reading Scoresheet'!G16,"")</f>
        <v/>
      </c>
      <c r="H16" s="81">
        <f>IF('G2 MT Reading Scoresheet'!H16&lt;&gt;"",'G2 MT Reading Scoresheet'!H16,"")</f>
        <v/>
      </c>
      <c r="I16" s="81">
        <f>IF('G2 MT Reading Scoresheet'!I16&lt;&gt;"",'G2 MT Reading Scoresheet'!I16,"")</f>
        <v/>
      </c>
      <c r="J16" s="82">
        <f>IF('G2 MT Reading Scoresheet'!J16&lt;&gt;"",'G2 MT Reading Scoresheet'!J16,"")</f>
        <v/>
      </c>
      <c r="K16" s="270">
        <f>IF('G2 MT Reading Scoresheet'!K16&lt;&gt;"",'G2 MT Reading Scoresheet'!K16,"")</f>
        <v/>
      </c>
      <c r="L16" s="87">
        <f>IF('G2 MT Reading Scoresheet'!L16&lt;&gt;"",'G2 MT Reading Scoresheet'!L16,"")</f>
        <v/>
      </c>
      <c r="M16" s="118">
        <f>IF('G2 MT Reading Scoresheet'!M16&lt;&gt;"",'G2 MT Reading Scoresheet'!M16,"")</f>
        <v/>
      </c>
      <c r="N16" s="81">
        <f>IF('G2 MT Reading Scoresheet'!N16&lt;&gt;"",'G2 MT Reading Scoresheet'!N16,"")</f>
        <v/>
      </c>
      <c r="O16" s="81">
        <f>IF('G2 MT Reading Scoresheet'!O16&lt;&gt;"",'G2 MT Reading Scoresheet'!O16,"")</f>
        <v/>
      </c>
      <c r="P16" s="118">
        <f>IF('G2 MT Reading Scoresheet'!P16&lt;&gt;"",'G2 MT Reading Scoresheet'!P16,"")</f>
        <v/>
      </c>
      <c r="Q16" s="122">
        <f>IF('G2 MT Reading Scoresheet'!Q16&lt;&gt;"",'G2 MT Reading Scoresheet'!Q16,"")</f>
        <v/>
      </c>
      <c r="R16" s="81">
        <f>IF('G2 MT Reading Scoresheet'!R16&lt;&gt;"",'G2 MT Reading Scoresheet'!R16,"")</f>
        <v/>
      </c>
      <c r="S16" s="81">
        <f>IF('G2 MT Reading Scoresheet'!S16&lt;&gt;"",'G2 MT Reading Scoresheet'!S16,"")</f>
        <v/>
      </c>
      <c r="T16" s="82">
        <f>IF('G2 MT Reading Scoresheet'!T16&lt;&gt;"",'G2 MT Reading Scoresheet'!T16,"")</f>
        <v/>
      </c>
      <c r="U16" s="87">
        <f>IF('G2 MT Reading Scoresheet'!U16&lt;&gt;"",'G2 MT Reading Scoresheet'!U16,"")</f>
        <v/>
      </c>
      <c r="V16" s="271" t="n"/>
      <c r="Y16" s="221">
        <f>IF(C16&lt;&gt;"",R16/6,"")</f>
        <v/>
      </c>
    </row>
    <row r="17" ht="14.4" customHeight="1" s="346">
      <c r="A17" s="5" t="n">
        <v>7</v>
      </c>
      <c r="B17" s="118">
        <f>IF('G2 MT Reading Scoresheet'!B17&lt;&gt;"",'G2 MT Reading Scoresheet'!B17,"")</f>
        <v/>
      </c>
      <c r="C17" s="133">
        <f>IF('G2 MT Reading Scoresheet'!C17&lt;&gt;"",'G2 MT Reading Scoresheet'!C17,"")</f>
        <v/>
      </c>
      <c r="D17" s="134">
        <f>IF('G2 MT Reading Scoresheet'!D17&lt;&gt;"",'G2 MT Reading Scoresheet'!D17,"")</f>
        <v/>
      </c>
      <c r="E17" s="135">
        <f>IF('G2 MT Reading Scoresheet'!E17&lt;&gt;"",'G2 MT Reading Scoresheet'!E17,"")</f>
        <v/>
      </c>
      <c r="F17" s="272">
        <f>IF('G2 MT Reading Scoresheet'!F17&lt;&gt;"",'G2 MT Reading Scoresheet'!F17,"")</f>
        <v/>
      </c>
      <c r="G17" s="262">
        <f>IF('G2 MT Reading Scoresheet'!G17&lt;&gt;"",'G2 MT Reading Scoresheet'!G17,"")</f>
        <v/>
      </c>
      <c r="H17" s="273">
        <f>IF('G2 MT Reading Scoresheet'!H17&lt;&gt;"",'G2 MT Reading Scoresheet'!H17,"")</f>
        <v/>
      </c>
      <c r="I17" s="81">
        <f>IF('G2 MT Reading Scoresheet'!I17&lt;&gt;"",'G2 MT Reading Scoresheet'!I17,"")</f>
        <v/>
      </c>
      <c r="J17" s="82">
        <f>IF('G2 MT Reading Scoresheet'!J17&lt;&gt;"",'G2 MT Reading Scoresheet'!J17,"")</f>
        <v/>
      </c>
      <c r="K17" s="274">
        <f>IF('G2 MT Reading Scoresheet'!K17&lt;&gt;"",'G2 MT Reading Scoresheet'!K17,"")</f>
        <v/>
      </c>
      <c r="L17" s="275">
        <f>IF('G2 MT Reading Scoresheet'!L17&lt;&gt;"",'G2 MT Reading Scoresheet'!L17,"")</f>
        <v/>
      </c>
      <c r="M17" s="118">
        <f>IF('G2 MT Reading Scoresheet'!M17&lt;&gt;"",'G2 MT Reading Scoresheet'!M17,"")</f>
        <v/>
      </c>
      <c r="N17" s="273">
        <f>IF('G2 MT Reading Scoresheet'!N17&lt;&gt;"",'G2 MT Reading Scoresheet'!N17,"")</f>
        <v/>
      </c>
      <c r="O17" s="273">
        <f>IF('G2 MT Reading Scoresheet'!O17&lt;&gt;"",'G2 MT Reading Scoresheet'!O17,"")</f>
        <v/>
      </c>
      <c r="P17" s="118">
        <f>IF('G2 MT Reading Scoresheet'!P17&lt;&gt;"",'G2 MT Reading Scoresheet'!P17,"")</f>
        <v/>
      </c>
      <c r="Q17" s="122">
        <f>IF('G2 MT Reading Scoresheet'!Q17&lt;&gt;"",'G2 MT Reading Scoresheet'!Q17,"")</f>
        <v/>
      </c>
      <c r="R17" s="273">
        <f>IF('G2 MT Reading Scoresheet'!R17&lt;&gt;"",'G2 MT Reading Scoresheet'!R17,"")</f>
        <v/>
      </c>
      <c r="S17" s="273">
        <f>IF('G2 MT Reading Scoresheet'!S17&lt;&gt;"",'G2 MT Reading Scoresheet'!S17,"")</f>
        <v/>
      </c>
      <c r="T17" s="276">
        <f>IF('G2 MT Reading Scoresheet'!T17&lt;&gt;"",'G2 MT Reading Scoresheet'!T17,"")</f>
        <v/>
      </c>
      <c r="U17" s="87">
        <f>IF('G2 MT Reading Scoresheet'!U17&lt;&gt;"",'G2 MT Reading Scoresheet'!U17,"")</f>
        <v/>
      </c>
      <c r="V17" s="277" t="n"/>
      <c r="Y17" s="221">
        <f>IF(C17&lt;&gt;"",R17/6,"")</f>
        <v/>
      </c>
    </row>
    <row r="18" ht="14.4" customHeight="1" s="346">
      <c r="A18" s="4" t="n">
        <v>8</v>
      </c>
      <c r="B18" s="118">
        <f>IF('G2 MT Reading Scoresheet'!B18&lt;&gt;"",'G2 MT Reading Scoresheet'!B18,"")</f>
        <v/>
      </c>
      <c r="C18" s="133">
        <f>IF('G2 MT Reading Scoresheet'!C18&lt;&gt;"",'G2 MT Reading Scoresheet'!C18,"")</f>
        <v/>
      </c>
      <c r="D18" s="134">
        <f>IF('G2 MT Reading Scoresheet'!D18&lt;&gt;"",'G2 MT Reading Scoresheet'!D18,"")</f>
        <v/>
      </c>
      <c r="E18" s="135">
        <f>IF('G2 MT Reading Scoresheet'!E18&lt;&gt;"",'G2 MT Reading Scoresheet'!E18,"")</f>
        <v/>
      </c>
      <c r="F18" s="268">
        <f>IF('G2 MT Reading Scoresheet'!F18&lt;&gt;"",'G2 MT Reading Scoresheet'!F18,"")</f>
        <v/>
      </c>
      <c r="G18" s="269">
        <f>IF('G2 MT Reading Scoresheet'!G18&lt;&gt;"",'G2 MT Reading Scoresheet'!G18,"")</f>
        <v/>
      </c>
      <c r="H18" s="81">
        <f>IF('G2 MT Reading Scoresheet'!H18&lt;&gt;"",'G2 MT Reading Scoresheet'!H18,"")</f>
        <v/>
      </c>
      <c r="I18" s="81">
        <f>IF('G2 MT Reading Scoresheet'!I18&lt;&gt;"",'G2 MT Reading Scoresheet'!I18,"")</f>
        <v/>
      </c>
      <c r="J18" s="82">
        <f>IF('G2 MT Reading Scoresheet'!J18&lt;&gt;"",'G2 MT Reading Scoresheet'!J18,"")</f>
        <v/>
      </c>
      <c r="K18" s="270">
        <f>IF('G2 MT Reading Scoresheet'!K18&lt;&gt;"",'G2 MT Reading Scoresheet'!K18,"")</f>
        <v/>
      </c>
      <c r="L18" s="87">
        <f>IF('G2 MT Reading Scoresheet'!L18&lt;&gt;"",'G2 MT Reading Scoresheet'!L18,"")</f>
        <v/>
      </c>
      <c r="M18" s="118">
        <f>IF('G2 MT Reading Scoresheet'!M18&lt;&gt;"",'G2 MT Reading Scoresheet'!M18,"")</f>
        <v/>
      </c>
      <c r="N18" s="81">
        <f>IF('G2 MT Reading Scoresheet'!N18&lt;&gt;"",'G2 MT Reading Scoresheet'!N18,"")</f>
        <v/>
      </c>
      <c r="O18" s="81">
        <f>IF('G2 MT Reading Scoresheet'!O18&lt;&gt;"",'G2 MT Reading Scoresheet'!O18,"")</f>
        <v/>
      </c>
      <c r="P18" s="118">
        <f>IF('G2 MT Reading Scoresheet'!P18&lt;&gt;"",'G2 MT Reading Scoresheet'!P18,"")</f>
        <v/>
      </c>
      <c r="Q18" s="122">
        <f>IF('G2 MT Reading Scoresheet'!Q18&lt;&gt;"",'G2 MT Reading Scoresheet'!Q18,"")</f>
        <v/>
      </c>
      <c r="R18" s="81">
        <f>IF('G2 MT Reading Scoresheet'!R18&lt;&gt;"",'G2 MT Reading Scoresheet'!R18,"")</f>
        <v/>
      </c>
      <c r="S18" s="81">
        <f>IF('G2 MT Reading Scoresheet'!S18&lt;&gt;"",'G2 MT Reading Scoresheet'!S18,"")</f>
        <v/>
      </c>
      <c r="T18" s="82">
        <f>IF('G2 MT Reading Scoresheet'!T18&lt;&gt;"",'G2 MT Reading Scoresheet'!T18,"")</f>
        <v/>
      </c>
      <c r="U18" s="87">
        <f>IF('G2 MT Reading Scoresheet'!U18&lt;&gt;"",'G2 MT Reading Scoresheet'!U18,"")</f>
        <v/>
      </c>
      <c r="V18" s="271" t="n"/>
      <c r="Y18" s="221">
        <f>IF(C18&lt;&gt;"",R18/6,"")</f>
        <v/>
      </c>
    </row>
    <row r="19" ht="14.4" customHeight="1" s="346">
      <c r="A19" s="5" t="n">
        <v>9</v>
      </c>
      <c r="B19" s="118">
        <f>IF('G2 MT Reading Scoresheet'!B19&lt;&gt;"",'G2 MT Reading Scoresheet'!B19,"")</f>
        <v/>
      </c>
      <c r="C19" s="133">
        <f>IF('G2 MT Reading Scoresheet'!C19&lt;&gt;"",'G2 MT Reading Scoresheet'!C19,"")</f>
        <v/>
      </c>
      <c r="D19" s="134">
        <f>IF('G2 MT Reading Scoresheet'!D19&lt;&gt;"",'G2 MT Reading Scoresheet'!D19,"")</f>
        <v/>
      </c>
      <c r="E19" s="135">
        <f>IF('G2 MT Reading Scoresheet'!E19&lt;&gt;"",'G2 MT Reading Scoresheet'!E19,"")</f>
        <v/>
      </c>
      <c r="F19" s="272">
        <f>IF('G2 MT Reading Scoresheet'!F19&lt;&gt;"",'G2 MT Reading Scoresheet'!F19,"")</f>
        <v/>
      </c>
      <c r="G19" s="262">
        <f>IF('G2 MT Reading Scoresheet'!G19&lt;&gt;"",'G2 MT Reading Scoresheet'!G19,"")</f>
        <v/>
      </c>
      <c r="H19" s="273">
        <f>IF('G2 MT Reading Scoresheet'!H19&lt;&gt;"",'G2 MT Reading Scoresheet'!H19,"")</f>
        <v/>
      </c>
      <c r="I19" s="81">
        <f>IF('G2 MT Reading Scoresheet'!I19&lt;&gt;"",'G2 MT Reading Scoresheet'!I19,"")</f>
        <v/>
      </c>
      <c r="J19" s="82">
        <f>IF('G2 MT Reading Scoresheet'!J19&lt;&gt;"",'G2 MT Reading Scoresheet'!J19,"")</f>
        <v/>
      </c>
      <c r="K19" s="274">
        <f>IF('G2 MT Reading Scoresheet'!K19&lt;&gt;"",'G2 MT Reading Scoresheet'!K19,"")</f>
        <v/>
      </c>
      <c r="L19" s="275">
        <f>IF('G2 MT Reading Scoresheet'!L19&lt;&gt;"",'G2 MT Reading Scoresheet'!L19,"")</f>
        <v/>
      </c>
      <c r="M19" s="118">
        <f>IF('G2 MT Reading Scoresheet'!M19&lt;&gt;"",'G2 MT Reading Scoresheet'!M19,"")</f>
        <v/>
      </c>
      <c r="N19" s="273">
        <f>IF('G2 MT Reading Scoresheet'!N19&lt;&gt;"",'G2 MT Reading Scoresheet'!N19,"")</f>
        <v/>
      </c>
      <c r="O19" s="273">
        <f>IF('G2 MT Reading Scoresheet'!O19&lt;&gt;"",'G2 MT Reading Scoresheet'!O19,"")</f>
        <v/>
      </c>
      <c r="P19" s="118">
        <f>IF('G2 MT Reading Scoresheet'!P19&lt;&gt;"",'G2 MT Reading Scoresheet'!P19,"")</f>
        <v/>
      </c>
      <c r="Q19" s="122">
        <f>IF('G2 MT Reading Scoresheet'!Q19&lt;&gt;"",'G2 MT Reading Scoresheet'!Q19,"")</f>
        <v/>
      </c>
      <c r="R19" s="273">
        <f>IF('G2 MT Reading Scoresheet'!R19&lt;&gt;"",'G2 MT Reading Scoresheet'!R19,"")</f>
        <v/>
      </c>
      <c r="S19" s="273">
        <f>IF('G2 MT Reading Scoresheet'!S19&lt;&gt;"",'G2 MT Reading Scoresheet'!S19,"")</f>
        <v/>
      </c>
      <c r="T19" s="276">
        <f>IF('G2 MT Reading Scoresheet'!T19&lt;&gt;"",'G2 MT Reading Scoresheet'!T19,"")</f>
        <v/>
      </c>
      <c r="U19" s="87">
        <f>IF('G2 MT Reading Scoresheet'!U19&lt;&gt;"",'G2 MT Reading Scoresheet'!U19,"")</f>
        <v/>
      </c>
      <c r="V19" s="277" t="n"/>
      <c r="Y19" s="221">
        <f>IF(C19&lt;&gt;"",R19/6,"")</f>
        <v/>
      </c>
    </row>
    <row r="20" ht="14.4" customHeight="1" s="346">
      <c r="A20" s="4" t="n">
        <v>10</v>
      </c>
      <c r="B20" s="118">
        <f>IF('G2 MT Reading Scoresheet'!B20&lt;&gt;"",'G2 MT Reading Scoresheet'!B20,"")</f>
        <v/>
      </c>
      <c r="C20" s="133">
        <f>IF('G2 MT Reading Scoresheet'!C20&lt;&gt;"",'G2 MT Reading Scoresheet'!C20,"")</f>
        <v/>
      </c>
      <c r="D20" s="134">
        <f>IF('G2 MT Reading Scoresheet'!D20&lt;&gt;"",'G2 MT Reading Scoresheet'!D20,"")</f>
        <v/>
      </c>
      <c r="E20" s="135">
        <f>IF('G2 MT Reading Scoresheet'!E20&lt;&gt;"",'G2 MT Reading Scoresheet'!E20,"")</f>
        <v/>
      </c>
      <c r="F20" s="268">
        <f>IF('G2 MT Reading Scoresheet'!F20&lt;&gt;"",'G2 MT Reading Scoresheet'!F20,"")</f>
        <v/>
      </c>
      <c r="G20" s="269">
        <f>IF('G2 MT Reading Scoresheet'!G20&lt;&gt;"",'G2 MT Reading Scoresheet'!G20,"")</f>
        <v/>
      </c>
      <c r="H20" s="81">
        <f>IF('G2 MT Reading Scoresheet'!H20&lt;&gt;"",'G2 MT Reading Scoresheet'!H20,"")</f>
        <v/>
      </c>
      <c r="I20" s="81">
        <f>IF('G2 MT Reading Scoresheet'!I20&lt;&gt;"",'G2 MT Reading Scoresheet'!I20,"")</f>
        <v/>
      </c>
      <c r="J20" s="82">
        <f>IF('G2 MT Reading Scoresheet'!J20&lt;&gt;"",'G2 MT Reading Scoresheet'!J20,"")</f>
        <v/>
      </c>
      <c r="K20" s="270">
        <f>IF('G2 MT Reading Scoresheet'!K20&lt;&gt;"",'G2 MT Reading Scoresheet'!K20,"")</f>
        <v/>
      </c>
      <c r="L20" s="87">
        <f>IF('G2 MT Reading Scoresheet'!L20&lt;&gt;"",'G2 MT Reading Scoresheet'!L20,"")</f>
        <v/>
      </c>
      <c r="M20" s="118">
        <f>IF('G2 MT Reading Scoresheet'!M20&lt;&gt;"",'G2 MT Reading Scoresheet'!M20,"")</f>
        <v/>
      </c>
      <c r="N20" s="81">
        <f>IF('G2 MT Reading Scoresheet'!N20&lt;&gt;"",'G2 MT Reading Scoresheet'!N20,"")</f>
        <v/>
      </c>
      <c r="O20" s="81">
        <f>IF('G2 MT Reading Scoresheet'!O20&lt;&gt;"",'G2 MT Reading Scoresheet'!O20,"")</f>
        <v/>
      </c>
      <c r="P20" s="118">
        <f>IF('G2 MT Reading Scoresheet'!P20&lt;&gt;"",'G2 MT Reading Scoresheet'!P20,"")</f>
        <v/>
      </c>
      <c r="Q20" s="122">
        <f>IF('G2 MT Reading Scoresheet'!Q20&lt;&gt;"",'G2 MT Reading Scoresheet'!Q20,"")</f>
        <v/>
      </c>
      <c r="R20" s="81">
        <f>IF('G2 MT Reading Scoresheet'!R20&lt;&gt;"",'G2 MT Reading Scoresheet'!R20,"")</f>
        <v/>
      </c>
      <c r="S20" s="81">
        <f>IF('G2 MT Reading Scoresheet'!S20&lt;&gt;"",'G2 MT Reading Scoresheet'!S20,"")</f>
        <v/>
      </c>
      <c r="T20" s="82">
        <f>IF('G2 MT Reading Scoresheet'!T20&lt;&gt;"",'G2 MT Reading Scoresheet'!T20,"")</f>
        <v/>
      </c>
      <c r="U20" s="87">
        <f>IF('G2 MT Reading Scoresheet'!U20&lt;&gt;"",'G2 MT Reading Scoresheet'!U20,"")</f>
        <v/>
      </c>
      <c r="V20" s="271" t="n"/>
      <c r="Y20" s="221">
        <f>IF(C20&lt;&gt;"",R20/6,"")</f>
        <v/>
      </c>
    </row>
    <row r="21" ht="14.4" customHeight="1" s="346">
      <c r="A21" s="5" t="n">
        <v>11</v>
      </c>
      <c r="B21" s="118">
        <f>IF('G2 MT Reading Scoresheet'!B21&lt;&gt;"",'G2 MT Reading Scoresheet'!B21,"")</f>
        <v/>
      </c>
      <c r="C21" s="133">
        <f>IF('G2 MT Reading Scoresheet'!C21&lt;&gt;"",'G2 MT Reading Scoresheet'!C21,"")</f>
        <v/>
      </c>
      <c r="D21" s="134">
        <f>IF('G2 MT Reading Scoresheet'!D21&lt;&gt;"",'G2 MT Reading Scoresheet'!D21,"")</f>
        <v/>
      </c>
      <c r="E21" s="135">
        <f>IF('G2 MT Reading Scoresheet'!E21&lt;&gt;"",'G2 MT Reading Scoresheet'!E21,"")</f>
        <v/>
      </c>
      <c r="F21" s="272">
        <f>IF('G2 MT Reading Scoresheet'!F21&lt;&gt;"",'G2 MT Reading Scoresheet'!F21,"")</f>
        <v/>
      </c>
      <c r="G21" s="262">
        <f>IF('G2 MT Reading Scoresheet'!G21&lt;&gt;"",'G2 MT Reading Scoresheet'!G21,"")</f>
        <v/>
      </c>
      <c r="H21" s="273">
        <f>IF('G2 MT Reading Scoresheet'!H21&lt;&gt;"",'G2 MT Reading Scoresheet'!H21,"")</f>
        <v/>
      </c>
      <c r="I21" s="81">
        <f>IF('G2 MT Reading Scoresheet'!I21&lt;&gt;"",'G2 MT Reading Scoresheet'!I21,"")</f>
        <v/>
      </c>
      <c r="J21" s="82">
        <f>IF('G2 MT Reading Scoresheet'!J21&lt;&gt;"",'G2 MT Reading Scoresheet'!J21,"")</f>
        <v/>
      </c>
      <c r="K21" s="274">
        <f>IF('G2 MT Reading Scoresheet'!K21&lt;&gt;"",'G2 MT Reading Scoresheet'!K21,"")</f>
        <v/>
      </c>
      <c r="L21" s="275">
        <f>IF('G2 MT Reading Scoresheet'!L21&lt;&gt;"",'G2 MT Reading Scoresheet'!L21,"")</f>
        <v/>
      </c>
      <c r="M21" s="118">
        <f>IF('G2 MT Reading Scoresheet'!M21&lt;&gt;"",'G2 MT Reading Scoresheet'!M21,"")</f>
        <v/>
      </c>
      <c r="N21" s="273">
        <f>IF('G2 MT Reading Scoresheet'!N21&lt;&gt;"",'G2 MT Reading Scoresheet'!N21,"")</f>
        <v/>
      </c>
      <c r="O21" s="273">
        <f>IF('G2 MT Reading Scoresheet'!O21&lt;&gt;"",'G2 MT Reading Scoresheet'!O21,"")</f>
        <v/>
      </c>
      <c r="P21" s="118">
        <f>IF('G2 MT Reading Scoresheet'!P21&lt;&gt;"",'G2 MT Reading Scoresheet'!P21,"")</f>
        <v/>
      </c>
      <c r="Q21" s="122">
        <f>IF('G2 MT Reading Scoresheet'!Q21&lt;&gt;"",'G2 MT Reading Scoresheet'!Q21,"")</f>
        <v/>
      </c>
      <c r="R21" s="273">
        <f>IF('G2 MT Reading Scoresheet'!R21&lt;&gt;"",'G2 MT Reading Scoresheet'!R21,"")</f>
        <v/>
      </c>
      <c r="S21" s="273">
        <f>IF('G2 MT Reading Scoresheet'!S21&lt;&gt;"",'G2 MT Reading Scoresheet'!S21,"")</f>
        <v/>
      </c>
      <c r="T21" s="276">
        <f>IF('G2 MT Reading Scoresheet'!T21&lt;&gt;"",'G2 MT Reading Scoresheet'!T21,"")</f>
        <v/>
      </c>
      <c r="U21" s="87">
        <f>IF('G2 MT Reading Scoresheet'!U21&lt;&gt;"",'G2 MT Reading Scoresheet'!U21,"")</f>
        <v/>
      </c>
      <c r="V21" s="277" t="n"/>
      <c r="Y21" s="221">
        <f>IF(C21&lt;&gt;"",R21/6,"")</f>
        <v/>
      </c>
    </row>
    <row r="22" ht="14.4" customHeight="1" s="346">
      <c r="A22" s="4" t="n">
        <v>12</v>
      </c>
      <c r="B22" s="118">
        <f>IF('G2 MT Reading Scoresheet'!B22&lt;&gt;"",'G2 MT Reading Scoresheet'!B22,"")</f>
        <v/>
      </c>
      <c r="C22" s="133">
        <f>IF('G2 MT Reading Scoresheet'!C22&lt;&gt;"",'G2 MT Reading Scoresheet'!C22,"")</f>
        <v/>
      </c>
      <c r="D22" s="134">
        <f>IF('G2 MT Reading Scoresheet'!D22&lt;&gt;"",'G2 MT Reading Scoresheet'!D22,"")</f>
        <v/>
      </c>
      <c r="E22" s="135">
        <f>IF('G2 MT Reading Scoresheet'!E22&lt;&gt;"",'G2 MT Reading Scoresheet'!E22,"")</f>
        <v/>
      </c>
      <c r="F22" s="268">
        <f>IF('G2 MT Reading Scoresheet'!F22&lt;&gt;"",'G2 MT Reading Scoresheet'!F22,"")</f>
        <v/>
      </c>
      <c r="G22" s="269">
        <f>IF('G2 MT Reading Scoresheet'!G22&lt;&gt;"",'G2 MT Reading Scoresheet'!G22,"")</f>
        <v/>
      </c>
      <c r="H22" s="81">
        <f>IF('G2 MT Reading Scoresheet'!H22&lt;&gt;"",'G2 MT Reading Scoresheet'!H22,"")</f>
        <v/>
      </c>
      <c r="I22" s="81">
        <f>IF('G2 MT Reading Scoresheet'!I22&lt;&gt;"",'G2 MT Reading Scoresheet'!I22,"")</f>
        <v/>
      </c>
      <c r="J22" s="82">
        <f>IF('G2 MT Reading Scoresheet'!J22&lt;&gt;"",'G2 MT Reading Scoresheet'!J22,"")</f>
        <v/>
      </c>
      <c r="K22" s="270">
        <f>IF('G2 MT Reading Scoresheet'!K22&lt;&gt;"",'G2 MT Reading Scoresheet'!K22,"")</f>
        <v/>
      </c>
      <c r="L22" s="87">
        <f>IF('G2 MT Reading Scoresheet'!L22&lt;&gt;"",'G2 MT Reading Scoresheet'!L22,"")</f>
        <v/>
      </c>
      <c r="M22" s="118">
        <f>IF('G2 MT Reading Scoresheet'!M22&lt;&gt;"",'G2 MT Reading Scoresheet'!M22,"")</f>
        <v/>
      </c>
      <c r="N22" s="81">
        <f>IF('G2 MT Reading Scoresheet'!N22&lt;&gt;"",'G2 MT Reading Scoresheet'!N22,"")</f>
        <v/>
      </c>
      <c r="O22" s="81">
        <f>IF('G2 MT Reading Scoresheet'!O22&lt;&gt;"",'G2 MT Reading Scoresheet'!O22,"")</f>
        <v/>
      </c>
      <c r="P22" s="118">
        <f>IF('G2 MT Reading Scoresheet'!P22&lt;&gt;"",'G2 MT Reading Scoresheet'!P22,"")</f>
        <v/>
      </c>
      <c r="Q22" s="122">
        <f>IF('G2 MT Reading Scoresheet'!Q22&lt;&gt;"",'G2 MT Reading Scoresheet'!Q22,"")</f>
        <v/>
      </c>
      <c r="R22" s="81">
        <f>IF('G2 MT Reading Scoresheet'!R22&lt;&gt;"",'G2 MT Reading Scoresheet'!R22,"")</f>
        <v/>
      </c>
      <c r="S22" s="81">
        <f>IF('G2 MT Reading Scoresheet'!S22&lt;&gt;"",'G2 MT Reading Scoresheet'!S22,"")</f>
        <v/>
      </c>
      <c r="T22" s="82">
        <f>IF('G2 MT Reading Scoresheet'!T22&lt;&gt;"",'G2 MT Reading Scoresheet'!T22,"")</f>
        <v/>
      </c>
      <c r="U22" s="87">
        <f>IF('G2 MT Reading Scoresheet'!U22&lt;&gt;"",'G2 MT Reading Scoresheet'!U22,"")</f>
        <v/>
      </c>
      <c r="V22" s="271" t="n"/>
      <c r="Y22" s="221">
        <f>IF(C22&lt;&gt;"",R22/6,"")</f>
        <v/>
      </c>
    </row>
    <row r="23" ht="14.4" customHeight="1" s="346">
      <c r="A23" s="5" t="n">
        <v>13</v>
      </c>
      <c r="B23" s="118">
        <f>IF('G2 MT Reading Scoresheet'!B23&lt;&gt;"",'G2 MT Reading Scoresheet'!B23,"")</f>
        <v/>
      </c>
      <c r="C23" s="133">
        <f>IF('G2 MT Reading Scoresheet'!C23&lt;&gt;"",'G2 MT Reading Scoresheet'!C23,"")</f>
        <v/>
      </c>
      <c r="D23" s="134">
        <f>IF('G2 MT Reading Scoresheet'!D23&lt;&gt;"",'G2 MT Reading Scoresheet'!D23,"")</f>
        <v/>
      </c>
      <c r="E23" s="135">
        <f>IF('G2 MT Reading Scoresheet'!E23&lt;&gt;"",'G2 MT Reading Scoresheet'!E23,"")</f>
        <v/>
      </c>
      <c r="F23" s="272">
        <f>IF('G2 MT Reading Scoresheet'!F23&lt;&gt;"",'G2 MT Reading Scoresheet'!F23,"")</f>
        <v/>
      </c>
      <c r="G23" s="262">
        <f>IF('G2 MT Reading Scoresheet'!G23&lt;&gt;"",'G2 MT Reading Scoresheet'!G23,"")</f>
        <v/>
      </c>
      <c r="H23" s="273">
        <f>IF('G2 MT Reading Scoresheet'!H23&lt;&gt;"",'G2 MT Reading Scoresheet'!H23,"")</f>
        <v/>
      </c>
      <c r="I23" s="81">
        <f>IF('G2 MT Reading Scoresheet'!I23&lt;&gt;"",'G2 MT Reading Scoresheet'!I23,"")</f>
        <v/>
      </c>
      <c r="J23" s="82">
        <f>IF('G2 MT Reading Scoresheet'!J23&lt;&gt;"",'G2 MT Reading Scoresheet'!J23,"")</f>
        <v/>
      </c>
      <c r="K23" s="274">
        <f>IF('G2 MT Reading Scoresheet'!K23&lt;&gt;"",'G2 MT Reading Scoresheet'!K23,"")</f>
        <v/>
      </c>
      <c r="L23" s="275">
        <f>IF('G2 MT Reading Scoresheet'!L23&lt;&gt;"",'G2 MT Reading Scoresheet'!L23,"")</f>
        <v/>
      </c>
      <c r="M23" s="118">
        <f>IF('G2 MT Reading Scoresheet'!M23&lt;&gt;"",'G2 MT Reading Scoresheet'!M23,"")</f>
        <v/>
      </c>
      <c r="N23" s="273">
        <f>IF('G2 MT Reading Scoresheet'!N23&lt;&gt;"",'G2 MT Reading Scoresheet'!N23,"")</f>
        <v/>
      </c>
      <c r="O23" s="273">
        <f>IF('G2 MT Reading Scoresheet'!O23&lt;&gt;"",'G2 MT Reading Scoresheet'!O23,"")</f>
        <v/>
      </c>
      <c r="P23" s="118">
        <f>IF('G2 MT Reading Scoresheet'!P23&lt;&gt;"",'G2 MT Reading Scoresheet'!P23,"")</f>
        <v/>
      </c>
      <c r="Q23" s="122">
        <f>IF('G2 MT Reading Scoresheet'!Q23&lt;&gt;"",'G2 MT Reading Scoresheet'!Q23,"")</f>
        <v/>
      </c>
      <c r="R23" s="273">
        <f>IF('G2 MT Reading Scoresheet'!R23&lt;&gt;"",'G2 MT Reading Scoresheet'!R23,"")</f>
        <v/>
      </c>
      <c r="S23" s="273">
        <f>IF('G2 MT Reading Scoresheet'!S23&lt;&gt;"",'G2 MT Reading Scoresheet'!S23,"")</f>
        <v/>
      </c>
      <c r="T23" s="276">
        <f>IF('G2 MT Reading Scoresheet'!T23&lt;&gt;"",'G2 MT Reading Scoresheet'!T23,"")</f>
        <v/>
      </c>
      <c r="U23" s="87">
        <f>IF('G2 MT Reading Scoresheet'!U23&lt;&gt;"",'G2 MT Reading Scoresheet'!U23,"")</f>
        <v/>
      </c>
      <c r="V23" s="277" t="n"/>
      <c r="Y23" s="221">
        <f>IF(C23&lt;&gt;"",R23/6,"")</f>
        <v/>
      </c>
    </row>
    <row r="24" ht="14.4" customHeight="1" s="346">
      <c r="A24" s="4" t="n">
        <v>14</v>
      </c>
      <c r="B24" s="118">
        <f>IF('G2 MT Reading Scoresheet'!B24&lt;&gt;"",'G2 MT Reading Scoresheet'!B24,"")</f>
        <v/>
      </c>
      <c r="C24" s="133">
        <f>IF('G2 MT Reading Scoresheet'!C24&lt;&gt;"",'G2 MT Reading Scoresheet'!C24,"")</f>
        <v/>
      </c>
      <c r="D24" s="134">
        <f>IF('G2 MT Reading Scoresheet'!D24&lt;&gt;"",'G2 MT Reading Scoresheet'!D24,"")</f>
        <v/>
      </c>
      <c r="E24" s="135">
        <f>IF('G2 MT Reading Scoresheet'!E24&lt;&gt;"",'G2 MT Reading Scoresheet'!E24,"")</f>
        <v/>
      </c>
      <c r="F24" s="268">
        <f>IF('G2 MT Reading Scoresheet'!F24&lt;&gt;"",'G2 MT Reading Scoresheet'!F24,"")</f>
        <v/>
      </c>
      <c r="G24" s="269">
        <f>IF('G2 MT Reading Scoresheet'!G24&lt;&gt;"",'G2 MT Reading Scoresheet'!G24,"")</f>
        <v/>
      </c>
      <c r="H24" s="81">
        <f>IF('G2 MT Reading Scoresheet'!H24&lt;&gt;"",'G2 MT Reading Scoresheet'!H24,"")</f>
        <v/>
      </c>
      <c r="I24" s="81">
        <f>IF('G2 MT Reading Scoresheet'!I24&lt;&gt;"",'G2 MT Reading Scoresheet'!I24,"")</f>
        <v/>
      </c>
      <c r="J24" s="82">
        <f>IF('G2 MT Reading Scoresheet'!J24&lt;&gt;"",'G2 MT Reading Scoresheet'!J24,"")</f>
        <v/>
      </c>
      <c r="K24" s="270">
        <f>IF('G2 MT Reading Scoresheet'!K24&lt;&gt;"",'G2 MT Reading Scoresheet'!K24,"")</f>
        <v/>
      </c>
      <c r="L24" s="87">
        <f>IF('G2 MT Reading Scoresheet'!L24&lt;&gt;"",'G2 MT Reading Scoresheet'!L24,"")</f>
        <v/>
      </c>
      <c r="M24" s="118">
        <f>IF('G2 MT Reading Scoresheet'!M24&lt;&gt;"",'G2 MT Reading Scoresheet'!M24,"")</f>
        <v/>
      </c>
      <c r="N24" s="81">
        <f>IF('G2 MT Reading Scoresheet'!N24&lt;&gt;"",'G2 MT Reading Scoresheet'!N24,"")</f>
        <v/>
      </c>
      <c r="O24" s="81">
        <f>IF('G2 MT Reading Scoresheet'!O24&lt;&gt;"",'G2 MT Reading Scoresheet'!O24,"")</f>
        <v/>
      </c>
      <c r="P24" s="118">
        <f>IF('G2 MT Reading Scoresheet'!P24&lt;&gt;"",'G2 MT Reading Scoresheet'!P24,"")</f>
        <v/>
      </c>
      <c r="Q24" s="122">
        <f>IF('G2 MT Reading Scoresheet'!Q24&lt;&gt;"",'G2 MT Reading Scoresheet'!Q24,"")</f>
        <v/>
      </c>
      <c r="R24" s="81">
        <f>IF('G2 MT Reading Scoresheet'!R24&lt;&gt;"",'G2 MT Reading Scoresheet'!R24,"")</f>
        <v/>
      </c>
      <c r="S24" s="81">
        <f>IF('G2 MT Reading Scoresheet'!S24&lt;&gt;"",'G2 MT Reading Scoresheet'!S24,"")</f>
        <v/>
      </c>
      <c r="T24" s="82">
        <f>IF('G2 MT Reading Scoresheet'!T24&lt;&gt;"",'G2 MT Reading Scoresheet'!T24,"")</f>
        <v/>
      </c>
      <c r="U24" s="87">
        <f>IF('G2 MT Reading Scoresheet'!U24&lt;&gt;"",'G2 MT Reading Scoresheet'!U24,"")</f>
        <v/>
      </c>
      <c r="V24" s="271" t="n"/>
      <c r="Y24" s="221">
        <f>IF(C24&lt;&gt;"",R24/6,"")</f>
        <v/>
      </c>
    </row>
    <row r="25" ht="14.4" customHeight="1" s="346">
      <c r="A25" s="5" t="n">
        <v>15</v>
      </c>
      <c r="B25" s="118">
        <f>IF('G2 MT Reading Scoresheet'!B25&lt;&gt;"",'G2 MT Reading Scoresheet'!B25,"")</f>
        <v/>
      </c>
      <c r="C25" s="133">
        <f>IF('G2 MT Reading Scoresheet'!C25&lt;&gt;"",'G2 MT Reading Scoresheet'!C25,"")</f>
        <v/>
      </c>
      <c r="D25" s="134">
        <f>IF('G2 MT Reading Scoresheet'!D25&lt;&gt;"",'G2 MT Reading Scoresheet'!D25,"")</f>
        <v/>
      </c>
      <c r="E25" s="135">
        <f>IF('G2 MT Reading Scoresheet'!E25&lt;&gt;"",'G2 MT Reading Scoresheet'!E25,"")</f>
        <v/>
      </c>
      <c r="F25" s="272">
        <f>IF('G2 MT Reading Scoresheet'!F25&lt;&gt;"",'G2 MT Reading Scoresheet'!F25,"")</f>
        <v/>
      </c>
      <c r="G25" s="262">
        <f>IF('G2 MT Reading Scoresheet'!G25&lt;&gt;"",'G2 MT Reading Scoresheet'!G25,"")</f>
        <v/>
      </c>
      <c r="H25" s="273">
        <f>IF('G2 MT Reading Scoresheet'!H25&lt;&gt;"",'G2 MT Reading Scoresheet'!H25,"")</f>
        <v/>
      </c>
      <c r="I25" s="81">
        <f>IF('G2 MT Reading Scoresheet'!I25&lt;&gt;"",'G2 MT Reading Scoresheet'!I25,"")</f>
        <v/>
      </c>
      <c r="J25" s="82">
        <f>IF('G2 MT Reading Scoresheet'!J25&lt;&gt;"",'G2 MT Reading Scoresheet'!J25,"")</f>
        <v/>
      </c>
      <c r="K25" s="274">
        <f>IF('G2 MT Reading Scoresheet'!K25&lt;&gt;"",'G2 MT Reading Scoresheet'!K25,"")</f>
        <v/>
      </c>
      <c r="L25" s="275">
        <f>IF('G2 MT Reading Scoresheet'!L25&lt;&gt;"",'G2 MT Reading Scoresheet'!L25,"")</f>
        <v/>
      </c>
      <c r="M25" s="118">
        <f>IF('G2 MT Reading Scoresheet'!M25&lt;&gt;"",'G2 MT Reading Scoresheet'!M25,"")</f>
        <v/>
      </c>
      <c r="N25" s="273">
        <f>IF('G2 MT Reading Scoresheet'!N25&lt;&gt;"",'G2 MT Reading Scoresheet'!N25,"")</f>
        <v/>
      </c>
      <c r="O25" s="273">
        <f>IF('G2 MT Reading Scoresheet'!O25&lt;&gt;"",'G2 MT Reading Scoresheet'!O25,"")</f>
        <v/>
      </c>
      <c r="P25" s="118">
        <f>IF('G2 MT Reading Scoresheet'!P25&lt;&gt;"",'G2 MT Reading Scoresheet'!P25,"")</f>
        <v/>
      </c>
      <c r="Q25" s="122">
        <f>IF('G2 MT Reading Scoresheet'!Q25&lt;&gt;"",'G2 MT Reading Scoresheet'!Q25,"")</f>
        <v/>
      </c>
      <c r="R25" s="273">
        <f>IF('G2 MT Reading Scoresheet'!R25&lt;&gt;"",'G2 MT Reading Scoresheet'!R25,"")</f>
        <v/>
      </c>
      <c r="S25" s="273">
        <f>IF('G2 MT Reading Scoresheet'!S25&lt;&gt;"",'G2 MT Reading Scoresheet'!S25,"")</f>
        <v/>
      </c>
      <c r="T25" s="276">
        <f>IF('G2 MT Reading Scoresheet'!T25&lt;&gt;"",'G2 MT Reading Scoresheet'!T25,"")</f>
        <v/>
      </c>
      <c r="U25" s="87">
        <f>IF('G2 MT Reading Scoresheet'!U25&lt;&gt;"",'G2 MT Reading Scoresheet'!U25,"")</f>
        <v/>
      </c>
      <c r="V25" s="277" t="n"/>
      <c r="Y25" s="221">
        <f>IF(C25&lt;&gt;"",R25/6,"")</f>
        <v/>
      </c>
    </row>
    <row r="26" ht="14.4" customHeight="1" s="346">
      <c r="A26" s="4" t="n">
        <v>16</v>
      </c>
      <c r="B26" s="118">
        <f>IF('G2 MT Reading Scoresheet'!B26&lt;&gt;"",'G2 MT Reading Scoresheet'!B26,"")</f>
        <v/>
      </c>
      <c r="C26" s="133">
        <f>IF('G2 MT Reading Scoresheet'!C26&lt;&gt;"",'G2 MT Reading Scoresheet'!C26,"")</f>
        <v/>
      </c>
      <c r="D26" s="134">
        <f>IF('G2 MT Reading Scoresheet'!D26&lt;&gt;"",'G2 MT Reading Scoresheet'!D26,"")</f>
        <v/>
      </c>
      <c r="E26" s="135">
        <f>IF('G2 MT Reading Scoresheet'!E26&lt;&gt;"",'G2 MT Reading Scoresheet'!E26,"")</f>
        <v/>
      </c>
      <c r="F26" s="268">
        <f>IF('G2 MT Reading Scoresheet'!F26&lt;&gt;"",'G2 MT Reading Scoresheet'!F26,"")</f>
        <v/>
      </c>
      <c r="G26" s="269">
        <f>IF('G2 MT Reading Scoresheet'!G26&lt;&gt;"",'G2 MT Reading Scoresheet'!G26,"")</f>
        <v/>
      </c>
      <c r="H26" s="81">
        <f>IF('G2 MT Reading Scoresheet'!H26&lt;&gt;"",'G2 MT Reading Scoresheet'!H26,"")</f>
        <v/>
      </c>
      <c r="I26" s="81">
        <f>IF('G2 MT Reading Scoresheet'!I26&lt;&gt;"",'G2 MT Reading Scoresheet'!I26,"")</f>
        <v/>
      </c>
      <c r="J26" s="82">
        <f>IF('G2 MT Reading Scoresheet'!J26&lt;&gt;"",'G2 MT Reading Scoresheet'!J26,"")</f>
        <v/>
      </c>
      <c r="K26" s="270">
        <f>IF('G2 MT Reading Scoresheet'!K26&lt;&gt;"",'G2 MT Reading Scoresheet'!K26,"")</f>
        <v/>
      </c>
      <c r="L26" s="87">
        <f>IF('G2 MT Reading Scoresheet'!L26&lt;&gt;"",'G2 MT Reading Scoresheet'!L26,"")</f>
        <v/>
      </c>
      <c r="M26" s="118">
        <f>IF('G2 MT Reading Scoresheet'!M26&lt;&gt;"",'G2 MT Reading Scoresheet'!M26,"")</f>
        <v/>
      </c>
      <c r="N26" s="81">
        <f>IF('G2 MT Reading Scoresheet'!N26&lt;&gt;"",'G2 MT Reading Scoresheet'!N26,"")</f>
        <v/>
      </c>
      <c r="O26" s="81">
        <f>IF('G2 MT Reading Scoresheet'!O26&lt;&gt;"",'G2 MT Reading Scoresheet'!O26,"")</f>
        <v/>
      </c>
      <c r="P26" s="118">
        <f>IF('G2 MT Reading Scoresheet'!P26&lt;&gt;"",'G2 MT Reading Scoresheet'!P26,"")</f>
        <v/>
      </c>
      <c r="Q26" s="122">
        <f>IF('G2 MT Reading Scoresheet'!Q26&lt;&gt;"",'G2 MT Reading Scoresheet'!Q26,"")</f>
        <v/>
      </c>
      <c r="R26" s="81">
        <f>IF('G2 MT Reading Scoresheet'!R26&lt;&gt;"",'G2 MT Reading Scoresheet'!R26,"")</f>
        <v/>
      </c>
      <c r="S26" s="81">
        <f>IF('G2 MT Reading Scoresheet'!S26&lt;&gt;"",'G2 MT Reading Scoresheet'!S26,"")</f>
        <v/>
      </c>
      <c r="T26" s="82">
        <f>IF('G2 MT Reading Scoresheet'!T26&lt;&gt;"",'G2 MT Reading Scoresheet'!T26,"")</f>
        <v/>
      </c>
      <c r="U26" s="87">
        <f>IF('G2 MT Reading Scoresheet'!U26&lt;&gt;"",'G2 MT Reading Scoresheet'!U26,"")</f>
        <v/>
      </c>
      <c r="V26" s="271" t="n"/>
      <c r="Y26" s="221">
        <f>IF(C26&lt;&gt;"",R26/6,"")</f>
        <v/>
      </c>
    </row>
    <row r="27" ht="14.4" customHeight="1" s="346">
      <c r="A27" s="5" t="n">
        <v>17</v>
      </c>
      <c r="B27" s="118">
        <f>IF('G2 MT Reading Scoresheet'!B27&lt;&gt;"",'G2 MT Reading Scoresheet'!B27,"")</f>
        <v/>
      </c>
      <c r="C27" s="133">
        <f>IF('G2 MT Reading Scoresheet'!C27&lt;&gt;"",'G2 MT Reading Scoresheet'!C27,"")</f>
        <v/>
      </c>
      <c r="D27" s="134">
        <f>IF('G2 MT Reading Scoresheet'!D27&lt;&gt;"",'G2 MT Reading Scoresheet'!D27,"")</f>
        <v/>
      </c>
      <c r="E27" s="135">
        <f>IF('G2 MT Reading Scoresheet'!E27&lt;&gt;"",'G2 MT Reading Scoresheet'!E27,"")</f>
        <v/>
      </c>
      <c r="F27" s="272">
        <f>IF('G2 MT Reading Scoresheet'!F27&lt;&gt;"",'G2 MT Reading Scoresheet'!F27,"")</f>
        <v/>
      </c>
      <c r="G27" s="262">
        <f>IF('G2 MT Reading Scoresheet'!G27&lt;&gt;"",'G2 MT Reading Scoresheet'!G27,"")</f>
        <v/>
      </c>
      <c r="H27" s="273">
        <f>IF('G2 MT Reading Scoresheet'!H27&lt;&gt;"",'G2 MT Reading Scoresheet'!H27,"")</f>
        <v/>
      </c>
      <c r="I27" s="81">
        <f>IF('G2 MT Reading Scoresheet'!I27&lt;&gt;"",'G2 MT Reading Scoresheet'!I27,"")</f>
        <v/>
      </c>
      <c r="J27" s="82">
        <f>IF('G2 MT Reading Scoresheet'!J27&lt;&gt;"",'G2 MT Reading Scoresheet'!J27,"")</f>
        <v/>
      </c>
      <c r="K27" s="274">
        <f>IF('G2 MT Reading Scoresheet'!K27&lt;&gt;"",'G2 MT Reading Scoresheet'!K27,"")</f>
        <v/>
      </c>
      <c r="L27" s="275">
        <f>IF('G2 MT Reading Scoresheet'!L27&lt;&gt;"",'G2 MT Reading Scoresheet'!L27,"")</f>
        <v/>
      </c>
      <c r="M27" s="118">
        <f>IF('G2 MT Reading Scoresheet'!M27&lt;&gt;"",'G2 MT Reading Scoresheet'!M27,"")</f>
        <v/>
      </c>
      <c r="N27" s="273">
        <f>IF('G2 MT Reading Scoresheet'!N27&lt;&gt;"",'G2 MT Reading Scoresheet'!N27,"")</f>
        <v/>
      </c>
      <c r="O27" s="273">
        <f>IF('G2 MT Reading Scoresheet'!O27&lt;&gt;"",'G2 MT Reading Scoresheet'!O27,"")</f>
        <v/>
      </c>
      <c r="P27" s="118">
        <f>IF('G2 MT Reading Scoresheet'!P27&lt;&gt;"",'G2 MT Reading Scoresheet'!P27,"")</f>
        <v/>
      </c>
      <c r="Q27" s="122">
        <f>IF('G2 MT Reading Scoresheet'!Q27&lt;&gt;"",'G2 MT Reading Scoresheet'!Q27,"")</f>
        <v/>
      </c>
      <c r="R27" s="273">
        <f>IF('G2 MT Reading Scoresheet'!R27&lt;&gt;"",'G2 MT Reading Scoresheet'!R27,"")</f>
        <v/>
      </c>
      <c r="S27" s="273">
        <f>IF('G2 MT Reading Scoresheet'!S27&lt;&gt;"",'G2 MT Reading Scoresheet'!S27,"")</f>
        <v/>
      </c>
      <c r="T27" s="276">
        <f>IF('G2 MT Reading Scoresheet'!T27&lt;&gt;"",'G2 MT Reading Scoresheet'!T27,"")</f>
        <v/>
      </c>
      <c r="U27" s="87">
        <f>IF('G2 MT Reading Scoresheet'!U27&lt;&gt;"",'G2 MT Reading Scoresheet'!U27,"")</f>
        <v/>
      </c>
      <c r="V27" s="277" t="n"/>
      <c r="Y27" s="221">
        <f>IF(C27&lt;&gt;"",R27/6,"")</f>
        <v/>
      </c>
    </row>
    <row r="28" ht="14.4" customHeight="1" s="346">
      <c r="A28" s="4" t="n">
        <v>18</v>
      </c>
      <c r="B28" s="118">
        <f>IF('G2 MT Reading Scoresheet'!B28&lt;&gt;"",'G2 MT Reading Scoresheet'!B28,"")</f>
        <v/>
      </c>
      <c r="C28" s="133">
        <f>IF('G2 MT Reading Scoresheet'!C28&lt;&gt;"",'G2 MT Reading Scoresheet'!C28,"")</f>
        <v/>
      </c>
      <c r="D28" s="134">
        <f>IF('G2 MT Reading Scoresheet'!D28&lt;&gt;"",'G2 MT Reading Scoresheet'!D28,"")</f>
        <v/>
      </c>
      <c r="E28" s="135">
        <f>IF('G2 MT Reading Scoresheet'!E28&lt;&gt;"",'G2 MT Reading Scoresheet'!E28,"")</f>
        <v/>
      </c>
      <c r="F28" s="268">
        <f>IF('G2 MT Reading Scoresheet'!F28&lt;&gt;"",'G2 MT Reading Scoresheet'!F28,"")</f>
        <v/>
      </c>
      <c r="G28" s="269">
        <f>IF('G2 MT Reading Scoresheet'!G28&lt;&gt;"",'G2 MT Reading Scoresheet'!G28,"")</f>
        <v/>
      </c>
      <c r="H28" s="81">
        <f>IF('G2 MT Reading Scoresheet'!H28&lt;&gt;"",'G2 MT Reading Scoresheet'!H28,"")</f>
        <v/>
      </c>
      <c r="I28" s="81">
        <f>IF('G2 MT Reading Scoresheet'!I28&lt;&gt;"",'G2 MT Reading Scoresheet'!I28,"")</f>
        <v/>
      </c>
      <c r="J28" s="82">
        <f>IF('G2 MT Reading Scoresheet'!J28&lt;&gt;"",'G2 MT Reading Scoresheet'!J28,"")</f>
        <v/>
      </c>
      <c r="K28" s="270">
        <f>IF('G2 MT Reading Scoresheet'!K28&lt;&gt;"",'G2 MT Reading Scoresheet'!K28,"")</f>
        <v/>
      </c>
      <c r="L28" s="87">
        <f>IF('G2 MT Reading Scoresheet'!L28&lt;&gt;"",'G2 MT Reading Scoresheet'!L28,"")</f>
        <v/>
      </c>
      <c r="M28" s="118">
        <f>IF('G2 MT Reading Scoresheet'!M28&lt;&gt;"",'G2 MT Reading Scoresheet'!M28,"")</f>
        <v/>
      </c>
      <c r="N28" s="81">
        <f>IF('G2 MT Reading Scoresheet'!N28&lt;&gt;"",'G2 MT Reading Scoresheet'!N28,"")</f>
        <v/>
      </c>
      <c r="O28" s="81">
        <f>IF('G2 MT Reading Scoresheet'!O28&lt;&gt;"",'G2 MT Reading Scoresheet'!O28,"")</f>
        <v/>
      </c>
      <c r="P28" s="118">
        <f>IF('G2 MT Reading Scoresheet'!P28&lt;&gt;"",'G2 MT Reading Scoresheet'!P28,"")</f>
        <v/>
      </c>
      <c r="Q28" s="122">
        <f>IF('G2 MT Reading Scoresheet'!Q28&lt;&gt;"",'G2 MT Reading Scoresheet'!Q28,"")</f>
        <v/>
      </c>
      <c r="R28" s="81">
        <f>IF('G2 MT Reading Scoresheet'!R28&lt;&gt;"",'G2 MT Reading Scoresheet'!R28,"")</f>
        <v/>
      </c>
      <c r="S28" s="81">
        <f>IF('G2 MT Reading Scoresheet'!S28&lt;&gt;"",'G2 MT Reading Scoresheet'!S28,"")</f>
        <v/>
      </c>
      <c r="T28" s="82">
        <f>IF('G2 MT Reading Scoresheet'!T28&lt;&gt;"",'G2 MT Reading Scoresheet'!T28,"")</f>
        <v/>
      </c>
      <c r="U28" s="87">
        <f>IF('G2 MT Reading Scoresheet'!U28&lt;&gt;"",'G2 MT Reading Scoresheet'!U28,"")</f>
        <v/>
      </c>
      <c r="V28" s="271" t="n"/>
      <c r="Y28" s="221">
        <f>IF(C28&lt;&gt;"",R28/6,"")</f>
        <v/>
      </c>
    </row>
    <row r="29" ht="14.4" customHeight="1" s="346">
      <c r="A29" s="5" t="n">
        <v>19</v>
      </c>
      <c r="B29" s="118">
        <f>IF('G2 MT Reading Scoresheet'!B29&lt;&gt;"",'G2 MT Reading Scoresheet'!B29,"")</f>
        <v/>
      </c>
      <c r="C29" s="133">
        <f>IF('G2 MT Reading Scoresheet'!C29&lt;&gt;"",'G2 MT Reading Scoresheet'!C29,"")</f>
        <v/>
      </c>
      <c r="D29" s="134">
        <f>IF('G2 MT Reading Scoresheet'!D29&lt;&gt;"",'G2 MT Reading Scoresheet'!D29,"")</f>
        <v/>
      </c>
      <c r="E29" s="135">
        <f>IF('G2 MT Reading Scoresheet'!E29&lt;&gt;"",'G2 MT Reading Scoresheet'!E29,"")</f>
        <v/>
      </c>
      <c r="F29" s="272">
        <f>IF('G2 MT Reading Scoresheet'!F29&lt;&gt;"",'G2 MT Reading Scoresheet'!F29,"")</f>
        <v/>
      </c>
      <c r="G29" s="262">
        <f>IF('G2 MT Reading Scoresheet'!G29&lt;&gt;"",'G2 MT Reading Scoresheet'!G29,"")</f>
        <v/>
      </c>
      <c r="H29" s="273">
        <f>IF('G2 MT Reading Scoresheet'!H29&lt;&gt;"",'G2 MT Reading Scoresheet'!H29,"")</f>
        <v/>
      </c>
      <c r="I29" s="81">
        <f>IF('G2 MT Reading Scoresheet'!I29&lt;&gt;"",'G2 MT Reading Scoresheet'!I29,"")</f>
        <v/>
      </c>
      <c r="J29" s="82">
        <f>IF('G2 MT Reading Scoresheet'!J29&lt;&gt;"",'G2 MT Reading Scoresheet'!J29,"")</f>
        <v/>
      </c>
      <c r="K29" s="274">
        <f>IF('G2 MT Reading Scoresheet'!K29&lt;&gt;"",'G2 MT Reading Scoresheet'!K29,"")</f>
        <v/>
      </c>
      <c r="L29" s="275">
        <f>IF('G2 MT Reading Scoresheet'!L29&lt;&gt;"",'G2 MT Reading Scoresheet'!L29,"")</f>
        <v/>
      </c>
      <c r="M29" s="118">
        <f>IF('G2 MT Reading Scoresheet'!M29&lt;&gt;"",'G2 MT Reading Scoresheet'!M29,"")</f>
        <v/>
      </c>
      <c r="N29" s="273">
        <f>IF('G2 MT Reading Scoresheet'!N29&lt;&gt;"",'G2 MT Reading Scoresheet'!N29,"")</f>
        <v/>
      </c>
      <c r="O29" s="273">
        <f>IF('G2 MT Reading Scoresheet'!O29&lt;&gt;"",'G2 MT Reading Scoresheet'!O29,"")</f>
        <v/>
      </c>
      <c r="P29" s="118">
        <f>IF('G2 MT Reading Scoresheet'!P29&lt;&gt;"",'G2 MT Reading Scoresheet'!P29,"")</f>
        <v/>
      </c>
      <c r="Q29" s="122">
        <f>IF('G2 MT Reading Scoresheet'!Q29&lt;&gt;"",'G2 MT Reading Scoresheet'!Q29,"")</f>
        <v/>
      </c>
      <c r="R29" s="273">
        <f>IF('G2 MT Reading Scoresheet'!R29&lt;&gt;"",'G2 MT Reading Scoresheet'!R29,"")</f>
        <v/>
      </c>
      <c r="S29" s="273">
        <f>IF('G2 MT Reading Scoresheet'!S29&lt;&gt;"",'G2 MT Reading Scoresheet'!S29,"")</f>
        <v/>
      </c>
      <c r="T29" s="276">
        <f>IF('G2 MT Reading Scoresheet'!T29&lt;&gt;"",'G2 MT Reading Scoresheet'!T29,"")</f>
        <v/>
      </c>
      <c r="U29" s="87">
        <f>IF('G2 MT Reading Scoresheet'!U29&lt;&gt;"",'G2 MT Reading Scoresheet'!U29,"")</f>
        <v/>
      </c>
      <c r="V29" s="277" t="n"/>
      <c r="Y29" s="221">
        <f>IF(C29&lt;&gt;"",R29/6,"")</f>
        <v/>
      </c>
    </row>
    <row r="30" ht="14.4" customHeight="1" s="346">
      <c r="A30" s="4" t="n">
        <v>20</v>
      </c>
      <c r="B30" s="118">
        <f>IF('G2 MT Reading Scoresheet'!B30&lt;&gt;"",'G2 MT Reading Scoresheet'!B30,"")</f>
        <v/>
      </c>
      <c r="C30" s="133">
        <f>IF('G2 MT Reading Scoresheet'!C30&lt;&gt;"",'G2 MT Reading Scoresheet'!C30,"")</f>
        <v/>
      </c>
      <c r="D30" s="134">
        <f>IF('G2 MT Reading Scoresheet'!D30&lt;&gt;"",'G2 MT Reading Scoresheet'!D30,"")</f>
        <v/>
      </c>
      <c r="E30" s="135">
        <f>IF('G2 MT Reading Scoresheet'!E30&lt;&gt;"",'G2 MT Reading Scoresheet'!E30,"")</f>
        <v/>
      </c>
      <c r="F30" s="268">
        <f>IF('G2 MT Reading Scoresheet'!F30&lt;&gt;"",'G2 MT Reading Scoresheet'!F30,"")</f>
        <v/>
      </c>
      <c r="G30" s="269">
        <f>IF('G2 MT Reading Scoresheet'!G30&lt;&gt;"",'G2 MT Reading Scoresheet'!G30,"")</f>
        <v/>
      </c>
      <c r="H30" s="81">
        <f>IF('G2 MT Reading Scoresheet'!H30&lt;&gt;"",'G2 MT Reading Scoresheet'!H30,"")</f>
        <v/>
      </c>
      <c r="I30" s="81">
        <f>IF('G2 MT Reading Scoresheet'!I30&lt;&gt;"",'G2 MT Reading Scoresheet'!I30,"")</f>
        <v/>
      </c>
      <c r="J30" s="82">
        <f>IF('G2 MT Reading Scoresheet'!J30&lt;&gt;"",'G2 MT Reading Scoresheet'!J30,"")</f>
        <v/>
      </c>
      <c r="K30" s="270">
        <f>IF('G2 MT Reading Scoresheet'!K30&lt;&gt;"",'G2 MT Reading Scoresheet'!K30,"")</f>
        <v/>
      </c>
      <c r="L30" s="87">
        <f>IF('G2 MT Reading Scoresheet'!L30&lt;&gt;"",'G2 MT Reading Scoresheet'!L30,"")</f>
        <v/>
      </c>
      <c r="M30" s="118">
        <f>IF('G2 MT Reading Scoresheet'!M30&lt;&gt;"",'G2 MT Reading Scoresheet'!M30,"")</f>
        <v/>
      </c>
      <c r="N30" s="81">
        <f>IF('G2 MT Reading Scoresheet'!N30&lt;&gt;"",'G2 MT Reading Scoresheet'!N30,"")</f>
        <v/>
      </c>
      <c r="O30" s="81">
        <f>IF('G2 MT Reading Scoresheet'!O30&lt;&gt;"",'G2 MT Reading Scoresheet'!O30,"")</f>
        <v/>
      </c>
      <c r="P30" s="118">
        <f>IF('G2 MT Reading Scoresheet'!P30&lt;&gt;"",'G2 MT Reading Scoresheet'!P30,"")</f>
        <v/>
      </c>
      <c r="Q30" s="122">
        <f>IF('G2 MT Reading Scoresheet'!Q30&lt;&gt;"",'G2 MT Reading Scoresheet'!Q30,"")</f>
        <v/>
      </c>
      <c r="R30" s="81">
        <f>IF('G2 MT Reading Scoresheet'!R30&lt;&gt;"",'G2 MT Reading Scoresheet'!R30,"")</f>
        <v/>
      </c>
      <c r="S30" s="81">
        <f>IF('G2 MT Reading Scoresheet'!S30&lt;&gt;"",'G2 MT Reading Scoresheet'!S30,"")</f>
        <v/>
      </c>
      <c r="T30" s="82">
        <f>IF('G2 MT Reading Scoresheet'!T30&lt;&gt;"",'G2 MT Reading Scoresheet'!T30,"")</f>
        <v/>
      </c>
      <c r="U30" s="87">
        <f>IF('G2 MT Reading Scoresheet'!U30&lt;&gt;"",'G2 MT Reading Scoresheet'!U30,"")</f>
        <v/>
      </c>
      <c r="V30" s="271" t="n"/>
      <c r="Y30" s="221">
        <f>IF(C30&lt;&gt;"",R30/6,"")</f>
        <v/>
      </c>
    </row>
    <row r="31" ht="14.4" customHeight="1" s="346">
      <c r="A31" s="5" t="n">
        <v>21</v>
      </c>
      <c r="B31" s="118">
        <f>IF('G2 MT Reading Scoresheet'!B31&lt;&gt;"",'G2 MT Reading Scoresheet'!B31,"")</f>
        <v/>
      </c>
      <c r="C31" s="133">
        <f>IF('G2 MT Reading Scoresheet'!C31&lt;&gt;"",'G2 MT Reading Scoresheet'!C31,"")</f>
        <v/>
      </c>
      <c r="D31" s="134">
        <f>IF('G2 MT Reading Scoresheet'!D31&lt;&gt;"",'G2 MT Reading Scoresheet'!D31,"")</f>
        <v/>
      </c>
      <c r="E31" s="135">
        <f>IF('G2 MT Reading Scoresheet'!E31&lt;&gt;"",'G2 MT Reading Scoresheet'!E31,"")</f>
        <v/>
      </c>
      <c r="F31" s="272">
        <f>IF('G2 MT Reading Scoresheet'!F31&lt;&gt;"",'G2 MT Reading Scoresheet'!F31,"")</f>
        <v/>
      </c>
      <c r="G31" s="262">
        <f>IF('G2 MT Reading Scoresheet'!G31&lt;&gt;"",'G2 MT Reading Scoresheet'!G31,"")</f>
        <v/>
      </c>
      <c r="H31" s="273">
        <f>IF('G2 MT Reading Scoresheet'!H31&lt;&gt;"",'G2 MT Reading Scoresheet'!H31,"")</f>
        <v/>
      </c>
      <c r="I31" s="81">
        <f>IF('G2 MT Reading Scoresheet'!I31&lt;&gt;"",'G2 MT Reading Scoresheet'!I31,"")</f>
        <v/>
      </c>
      <c r="J31" s="82">
        <f>IF('G2 MT Reading Scoresheet'!J31&lt;&gt;"",'G2 MT Reading Scoresheet'!J31,"")</f>
        <v/>
      </c>
      <c r="K31" s="274">
        <f>IF('G2 MT Reading Scoresheet'!K31&lt;&gt;"",'G2 MT Reading Scoresheet'!K31,"")</f>
        <v/>
      </c>
      <c r="L31" s="275">
        <f>IF('G2 MT Reading Scoresheet'!L31&lt;&gt;"",'G2 MT Reading Scoresheet'!L31,"")</f>
        <v/>
      </c>
      <c r="M31" s="118">
        <f>IF('G2 MT Reading Scoresheet'!M31&lt;&gt;"",'G2 MT Reading Scoresheet'!M31,"")</f>
        <v/>
      </c>
      <c r="N31" s="81">
        <f>IF('G2 MT Reading Scoresheet'!N31&lt;&gt;"",'G2 MT Reading Scoresheet'!N31,"")</f>
        <v/>
      </c>
      <c r="O31" s="273">
        <f>IF('G2 MT Reading Scoresheet'!O31&lt;&gt;"",'G2 MT Reading Scoresheet'!O31,"")</f>
        <v/>
      </c>
      <c r="P31" s="118">
        <f>IF('G2 MT Reading Scoresheet'!P31&lt;&gt;"",'G2 MT Reading Scoresheet'!P31,"")</f>
        <v/>
      </c>
      <c r="Q31" s="122">
        <f>IF('G2 MT Reading Scoresheet'!Q31&lt;&gt;"",'G2 MT Reading Scoresheet'!Q31,"")</f>
        <v/>
      </c>
      <c r="R31" s="273">
        <f>IF('G2 MT Reading Scoresheet'!R31&lt;&gt;"",'G2 MT Reading Scoresheet'!R31,"")</f>
        <v/>
      </c>
      <c r="S31" s="273">
        <f>IF('G2 MT Reading Scoresheet'!S31&lt;&gt;"",'G2 MT Reading Scoresheet'!S31,"")</f>
        <v/>
      </c>
      <c r="T31" s="276">
        <f>IF('G2 MT Reading Scoresheet'!T31&lt;&gt;"",'G2 MT Reading Scoresheet'!T31,"")</f>
        <v/>
      </c>
      <c r="U31" s="87">
        <f>IF('G2 MT Reading Scoresheet'!U31&lt;&gt;"",'G2 MT Reading Scoresheet'!U31,"")</f>
        <v/>
      </c>
      <c r="V31" s="277" t="n"/>
      <c r="Y31" s="221">
        <f>IF(C31&lt;&gt;"",R31/6,"")</f>
        <v/>
      </c>
    </row>
    <row r="32" ht="14.4" customHeight="1" s="346">
      <c r="A32" s="4" t="n">
        <v>22</v>
      </c>
      <c r="B32" s="118">
        <f>IF('G2 MT Reading Scoresheet'!B32&lt;&gt;"",'G2 MT Reading Scoresheet'!B32,"")</f>
        <v/>
      </c>
      <c r="C32" s="133">
        <f>IF('G2 MT Reading Scoresheet'!C32&lt;&gt;"",'G2 MT Reading Scoresheet'!C32,"")</f>
        <v/>
      </c>
      <c r="D32" s="134">
        <f>IF('G2 MT Reading Scoresheet'!D32&lt;&gt;"",'G2 MT Reading Scoresheet'!D32,"")</f>
        <v/>
      </c>
      <c r="E32" s="135">
        <f>IF('G2 MT Reading Scoresheet'!E32&lt;&gt;"",'G2 MT Reading Scoresheet'!E32,"")</f>
        <v/>
      </c>
      <c r="F32" s="268">
        <f>IF('G2 MT Reading Scoresheet'!F32&lt;&gt;"",'G2 MT Reading Scoresheet'!F32,"")</f>
        <v/>
      </c>
      <c r="G32" s="269">
        <f>IF('G2 MT Reading Scoresheet'!G32&lt;&gt;"",'G2 MT Reading Scoresheet'!G32,"")</f>
        <v/>
      </c>
      <c r="H32" s="81">
        <f>IF('G2 MT Reading Scoresheet'!H32&lt;&gt;"",'G2 MT Reading Scoresheet'!H32,"")</f>
        <v/>
      </c>
      <c r="I32" s="81">
        <f>IF('G2 MT Reading Scoresheet'!I32&lt;&gt;"",'G2 MT Reading Scoresheet'!I32,"")</f>
        <v/>
      </c>
      <c r="J32" s="82">
        <f>IF('G2 MT Reading Scoresheet'!J32&lt;&gt;"",'G2 MT Reading Scoresheet'!J32,"")</f>
        <v/>
      </c>
      <c r="K32" s="270">
        <f>IF('G2 MT Reading Scoresheet'!K32&lt;&gt;"",'G2 MT Reading Scoresheet'!K32,"")</f>
        <v/>
      </c>
      <c r="L32" s="87">
        <f>IF('G2 MT Reading Scoresheet'!L32&lt;&gt;"",'G2 MT Reading Scoresheet'!L32,"")</f>
        <v/>
      </c>
      <c r="M32" s="118">
        <f>IF('G2 MT Reading Scoresheet'!M32&lt;&gt;"",'G2 MT Reading Scoresheet'!M32,"")</f>
        <v/>
      </c>
      <c r="N32" s="81">
        <f>IF('G2 MT Reading Scoresheet'!N32&lt;&gt;"",'G2 MT Reading Scoresheet'!N32,"")</f>
        <v/>
      </c>
      <c r="O32" s="81">
        <f>IF('G2 MT Reading Scoresheet'!O32&lt;&gt;"",'G2 MT Reading Scoresheet'!O32,"")</f>
        <v/>
      </c>
      <c r="P32" s="118">
        <f>IF('G2 MT Reading Scoresheet'!P32&lt;&gt;"",'G2 MT Reading Scoresheet'!P32,"")</f>
        <v/>
      </c>
      <c r="Q32" s="122">
        <f>IF('G2 MT Reading Scoresheet'!Q32&lt;&gt;"",'G2 MT Reading Scoresheet'!Q32,"")</f>
        <v/>
      </c>
      <c r="R32" s="81">
        <f>IF('G2 MT Reading Scoresheet'!R32&lt;&gt;"",'G2 MT Reading Scoresheet'!R32,"")</f>
        <v/>
      </c>
      <c r="S32" s="81">
        <f>IF('G2 MT Reading Scoresheet'!S32&lt;&gt;"",'G2 MT Reading Scoresheet'!S32,"")</f>
        <v/>
      </c>
      <c r="T32" s="82">
        <f>IF('G2 MT Reading Scoresheet'!T32&lt;&gt;"",'G2 MT Reading Scoresheet'!T32,"")</f>
        <v/>
      </c>
      <c r="U32" s="87">
        <f>IF('G2 MT Reading Scoresheet'!U32&lt;&gt;"",'G2 MT Reading Scoresheet'!U32,"")</f>
        <v/>
      </c>
      <c r="V32" s="271" t="n"/>
      <c r="Y32" s="221">
        <f>IF(C32&lt;&gt;"",R32/6,"")</f>
        <v/>
      </c>
    </row>
    <row r="33" ht="14.4" customHeight="1" s="346">
      <c r="A33" s="5" t="n">
        <v>23</v>
      </c>
      <c r="B33" s="118">
        <f>IF('G2 MT Reading Scoresheet'!B33&lt;&gt;"",'G2 MT Reading Scoresheet'!B33,"")</f>
        <v/>
      </c>
      <c r="C33" s="133">
        <f>IF('G2 MT Reading Scoresheet'!C33&lt;&gt;"",'G2 MT Reading Scoresheet'!C33,"")</f>
        <v/>
      </c>
      <c r="D33" s="134">
        <f>IF('G2 MT Reading Scoresheet'!D33&lt;&gt;"",'G2 MT Reading Scoresheet'!D33,"")</f>
        <v/>
      </c>
      <c r="E33" s="135">
        <f>IF('G2 MT Reading Scoresheet'!E33&lt;&gt;"",'G2 MT Reading Scoresheet'!E33,"")</f>
        <v/>
      </c>
      <c r="F33" s="272">
        <f>IF('G2 MT Reading Scoresheet'!F33&lt;&gt;"",'G2 MT Reading Scoresheet'!F33,"")</f>
        <v/>
      </c>
      <c r="G33" s="262">
        <f>IF('G2 MT Reading Scoresheet'!G33&lt;&gt;"",'G2 MT Reading Scoresheet'!G33,"")</f>
        <v/>
      </c>
      <c r="H33" s="273">
        <f>IF('G2 MT Reading Scoresheet'!H33&lt;&gt;"",'G2 MT Reading Scoresheet'!H33,"")</f>
        <v/>
      </c>
      <c r="I33" s="81">
        <f>IF('G2 MT Reading Scoresheet'!I33&lt;&gt;"",'G2 MT Reading Scoresheet'!I33,"")</f>
        <v/>
      </c>
      <c r="J33" s="82">
        <f>IF('G2 MT Reading Scoresheet'!J33&lt;&gt;"",'G2 MT Reading Scoresheet'!J33,"")</f>
        <v/>
      </c>
      <c r="K33" s="274">
        <f>IF('G2 MT Reading Scoresheet'!K33&lt;&gt;"",'G2 MT Reading Scoresheet'!K33,"")</f>
        <v/>
      </c>
      <c r="L33" s="275">
        <f>IF('G2 MT Reading Scoresheet'!L33&lt;&gt;"",'G2 MT Reading Scoresheet'!L33,"")</f>
        <v/>
      </c>
      <c r="M33" s="118">
        <f>IF('G2 MT Reading Scoresheet'!M33&lt;&gt;"",'G2 MT Reading Scoresheet'!M33,"")</f>
        <v/>
      </c>
      <c r="N33" s="81">
        <f>IF('G2 MT Reading Scoresheet'!N33&lt;&gt;"",'G2 MT Reading Scoresheet'!N33,"")</f>
        <v/>
      </c>
      <c r="O33" s="273">
        <f>IF('G2 MT Reading Scoresheet'!O33&lt;&gt;"",'G2 MT Reading Scoresheet'!O33,"")</f>
        <v/>
      </c>
      <c r="P33" s="118">
        <f>IF('G2 MT Reading Scoresheet'!P33&lt;&gt;"",'G2 MT Reading Scoresheet'!P33,"")</f>
        <v/>
      </c>
      <c r="Q33" s="122">
        <f>IF('G2 MT Reading Scoresheet'!Q33&lt;&gt;"",'G2 MT Reading Scoresheet'!Q33,"")</f>
        <v/>
      </c>
      <c r="R33" s="273">
        <f>IF('G2 MT Reading Scoresheet'!R33&lt;&gt;"",'G2 MT Reading Scoresheet'!R33,"")</f>
        <v/>
      </c>
      <c r="S33" s="273">
        <f>IF('G2 MT Reading Scoresheet'!S33&lt;&gt;"",'G2 MT Reading Scoresheet'!S33,"")</f>
        <v/>
      </c>
      <c r="T33" s="276">
        <f>IF('G2 MT Reading Scoresheet'!T33&lt;&gt;"",'G2 MT Reading Scoresheet'!T33,"")</f>
        <v/>
      </c>
      <c r="U33" s="87">
        <f>IF('G2 MT Reading Scoresheet'!U33&lt;&gt;"",'G2 MT Reading Scoresheet'!U33,"")</f>
        <v/>
      </c>
      <c r="V33" s="277" t="n"/>
      <c r="Y33" s="221">
        <f>IF(C33&lt;&gt;"",R33/6,"")</f>
        <v/>
      </c>
    </row>
    <row r="34" ht="14.4" customHeight="1" s="346">
      <c r="A34" s="4" t="n">
        <v>24</v>
      </c>
      <c r="B34" s="118">
        <f>IF('G2 MT Reading Scoresheet'!B34&lt;&gt;"",'G2 MT Reading Scoresheet'!B34,"")</f>
        <v/>
      </c>
      <c r="C34" s="133">
        <f>IF('G2 MT Reading Scoresheet'!C34&lt;&gt;"",'G2 MT Reading Scoresheet'!C34,"")</f>
        <v/>
      </c>
      <c r="D34" s="134">
        <f>IF('G2 MT Reading Scoresheet'!D34&lt;&gt;"",'G2 MT Reading Scoresheet'!D34,"")</f>
        <v/>
      </c>
      <c r="E34" s="135">
        <f>IF('G2 MT Reading Scoresheet'!E34&lt;&gt;"",'G2 MT Reading Scoresheet'!E34,"")</f>
        <v/>
      </c>
      <c r="F34" s="268">
        <f>IF('G2 MT Reading Scoresheet'!F34&lt;&gt;"",'G2 MT Reading Scoresheet'!F34,"")</f>
        <v/>
      </c>
      <c r="G34" s="269">
        <f>IF('G2 MT Reading Scoresheet'!G34&lt;&gt;"",'G2 MT Reading Scoresheet'!G34,"")</f>
        <v/>
      </c>
      <c r="H34" s="81">
        <f>IF('G2 MT Reading Scoresheet'!H34&lt;&gt;"",'G2 MT Reading Scoresheet'!H34,"")</f>
        <v/>
      </c>
      <c r="I34" s="81">
        <f>IF('G2 MT Reading Scoresheet'!I34&lt;&gt;"",'G2 MT Reading Scoresheet'!I34,"")</f>
        <v/>
      </c>
      <c r="J34" s="82">
        <f>IF('G2 MT Reading Scoresheet'!J34&lt;&gt;"",'G2 MT Reading Scoresheet'!J34,"")</f>
        <v/>
      </c>
      <c r="K34" s="270">
        <f>IF('G2 MT Reading Scoresheet'!K34&lt;&gt;"",'G2 MT Reading Scoresheet'!K34,"")</f>
        <v/>
      </c>
      <c r="L34" s="87">
        <f>IF('G2 MT Reading Scoresheet'!L34&lt;&gt;"",'G2 MT Reading Scoresheet'!L34,"")</f>
        <v/>
      </c>
      <c r="M34" s="118">
        <f>IF('G2 MT Reading Scoresheet'!M34&lt;&gt;"",'G2 MT Reading Scoresheet'!M34,"")</f>
        <v/>
      </c>
      <c r="N34" s="81">
        <f>IF('G2 MT Reading Scoresheet'!N34&lt;&gt;"",'G2 MT Reading Scoresheet'!N34,"")</f>
        <v/>
      </c>
      <c r="O34" s="81">
        <f>IF('G2 MT Reading Scoresheet'!O34&lt;&gt;"",'G2 MT Reading Scoresheet'!O34,"")</f>
        <v/>
      </c>
      <c r="P34" s="118">
        <f>IF('G2 MT Reading Scoresheet'!P34&lt;&gt;"",'G2 MT Reading Scoresheet'!P34,"")</f>
        <v/>
      </c>
      <c r="Q34" s="122">
        <f>IF('G2 MT Reading Scoresheet'!Q34&lt;&gt;"",'G2 MT Reading Scoresheet'!Q34,"")</f>
        <v/>
      </c>
      <c r="R34" s="81">
        <f>IF('G2 MT Reading Scoresheet'!R34&lt;&gt;"",'G2 MT Reading Scoresheet'!R34,"")</f>
        <v/>
      </c>
      <c r="S34" s="81">
        <f>IF('G2 MT Reading Scoresheet'!S34&lt;&gt;"",'G2 MT Reading Scoresheet'!S34,"")</f>
        <v/>
      </c>
      <c r="T34" s="82">
        <f>IF('G2 MT Reading Scoresheet'!T34&lt;&gt;"",'G2 MT Reading Scoresheet'!T34,"")</f>
        <v/>
      </c>
      <c r="U34" s="87">
        <f>IF('G2 MT Reading Scoresheet'!U34&lt;&gt;"",'G2 MT Reading Scoresheet'!U34,"")</f>
        <v/>
      </c>
      <c r="V34" s="271" t="n"/>
      <c r="Y34" s="221">
        <f>IF(C34&lt;&gt;"",R34/6,"")</f>
        <v/>
      </c>
    </row>
    <row r="35" ht="14.4" customHeight="1" s="346">
      <c r="A35" s="5" t="n">
        <v>25</v>
      </c>
      <c r="B35" s="118">
        <f>IF('G2 MT Reading Scoresheet'!B35&lt;&gt;"",'G2 MT Reading Scoresheet'!B35,"")</f>
        <v/>
      </c>
      <c r="C35" s="133">
        <f>IF('G2 MT Reading Scoresheet'!C35&lt;&gt;"",'G2 MT Reading Scoresheet'!C35,"")</f>
        <v/>
      </c>
      <c r="D35" s="134">
        <f>IF('G2 MT Reading Scoresheet'!D35&lt;&gt;"",'G2 MT Reading Scoresheet'!D35,"")</f>
        <v/>
      </c>
      <c r="E35" s="135">
        <f>IF('G2 MT Reading Scoresheet'!E35&lt;&gt;"",'G2 MT Reading Scoresheet'!E35,"")</f>
        <v/>
      </c>
      <c r="F35" s="272">
        <f>IF('G2 MT Reading Scoresheet'!F35&lt;&gt;"",'G2 MT Reading Scoresheet'!F35,"")</f>
        <v/>
      </c>
      <c r="G35" s="262">
        <f>IF('G2 MT Reading Scoresheet'!G35&lt;&gt;"",'G2 MT Reading Scoresheet'!G35,"")</f>
        <v/>
      </c>
      <c r="H35" s="273">
        <f>IF('G2 MT Reading Scoresheet'!H35&lt;&gt;"",'G2 MT Reading Scoresheet'!H35,"")</f>
        <v/>
      </c>
      <c r="I35" s="81">
        <f>IF('G2 MT Reading Scoresheet'!I35&lt;&gt;"",'G2 MT Reading Scoresheet'!I35,"")</f>
        <v/>
      </c>
      <c r="J35" s="82">
        <f>IF('G2 MT Reading Scoresheet'!J35&lt;&gt;"",'G2 MT Reading Scoresheet'!J35,"")</f>
        <v/>
      </c>
      <c r="K35" s="274">
        <f>IF('G2 MT Reading Scoresheet'!K35&lt;&gt;"",'G2 MT Reading Scoresheet'!K35,"")</f>
        <v/>
      </c>
      <c r="L35" s="275">
        <f>IF('G2 MT Reading Scoresheet'!L35&lt;&gt;"",'G2 MT Reading Scoresheet'!L35,"")</f>
        <v/>
      </c>
      <c r="M35" s="118">
        <f>IF('G2 MT Reading Scoresheet'!M35&lt;&gt;"",'G2 MT Reading Scoresheet'!M35,"")</f>
        <v/>
      </c>
      <c r="N35" s="273">
        <f>IF('G2 MT Reading Scoresheet'!N35&lt;&gt;"",'G2 MT Reading Scoresheet'!N35,"")</f>
        <v/>
      </c>
      <c r="O35" s="273">
        <f>IF('G2 MT Reading Scoresheet'!O35&lt;&gt;"",'G2 MT Reading Scoresheet'!O35,"")</f>
        <v/>
      </c>
      <c r="P35" s="118">
        <f>IF('G2 MT Reading Scoresheet'!P35&lt;&gt;"",'G2 MT Reading Scoresheet'!P35,"")</f>
        <v/>
      </c>
      <c r="Q35" s="122">
        <f>IF('G2 MT Reading Scoresheet'!Q35&lt;&gt;"",'G2 MT Reading Scoresheet'!Q35,"")</f>
        <v/>
      </c>
      <c r="R35" s="273">
        <f>IF('G2 MT Reading Scoresheet'!R35&lt;&gt;"",'G2 MT Reading Scoresheet'!R35,"")</f>
        <v/>
      </c>
      <c r="S35" s="273">
        <f>IF('G2 MT Reading Scoresheet'!S35&lt;&gt;"",'G2 MT Reading Scoresheet'!S35,"")</f>
        <v/>
      </c>
      <c r="T35" s="276">
        <f>IF('G2 MT Reading Scoresheet'!T35&lt;&gt;"",'G2 MT Reading Scoresheet'!T35,"")</f>
        <v/>
      </c>
      <c r="U35" s="87">
        <f>IF('G2 MT Reading Scoresheet'!U35&lt;&gt;"",'G2 MT Reading Scoresheet'!U35,"")</f>
        <v/>
      </c>
      <c r="V35" s="277" t="n"/>
      <c r="Y35" s="221">
        <f>IF(C35&lt;&gt;"",R35/6,"")</f>
        <v/>
      </c>
    </row>
    <row r="36" ht="14.4" customHeight="1" s="346">
      <c r="A36" s="4" t="n">
        <v>26</v>
      </c>
      <c r="B36" s="118">
        <f>IF('G2 MT Reading Scoresheet'!B36&lt;&gt;"",'G2 MT Reading Scoresheet'!B36,"")</f>
        <v/>
      </c>
      <c r="C36" s="133">
        <f>IF('G2 MT Reading Scoresheet'!C36&lt;&gt;"",'G2 MT Reading Scoresheet'!C36,"")</f>
        <v/>
      </c>
      <c r="D36" s="134">
        <f>IF('G2 MT Reading Scoresheet'!D36&lt;&gt;"",'G2 MT Reading Scoresheet'!D36,"")</f>
        <v/>
      </c>
      <c r="E36" s="135">
        <f>IF('G2 MT Reading Scoresheet'!E36&lt;&gt;"",'G2 MT Reading Scoresheet'!E36,"")</f>
        <v/>
      </c>
      <c r="F36" s="268">
        <f>IF('G2 MT Reading Scoresheet'!F36&lt;&gt;"",'G2 MT Reading Scoresheet'!F36,"")</f>
        <v/>
      </c>
      <c r="G36" s="269">
        <f>IF('G2 MT Reading Scoresheet'!G36&lt;&gt;"",'G2 MT Reading Scoresheet'!G36,"")</f>
        <v/>
      </c>
      <c r="H36" s="81">
        <f>IF('G2 MT Reading Scoresheet'!H36&lt;&gt;"",'G2 MT Reading Scoresheet'!H36,"")</f>
        <v/>
      </c>
      <c r="I36" s="81">
        <f>IF('G2 MT Reading Scoresheet'!I36&lt;&gt;"",'G2 MT Reading Scoresheet'!I36,"")</f>
        <v/>
      </c>
      <c r="J36" s="82">
        <f>IF('G2 MT Reading Scoresheet'!J36&lt;&gt;"",'G2 MT Reading Scoresheet'!J36,"")</f>
        <v/>
      </c>
      <c r="K36" s="270">
        <f>IF('G2 MT Reading Scoresheet'!K36&lt;&gt;"",'G2 MT Reading Scoresheet'!K36,"")</f>
        <v/>
      </c>
      <c r="L36" s="87">
        <f>IF('G2 MT Reading Scoresheet'!L36&lt;&gt;"",'G2 MT Reading Scoresheet'!L36,"")</f>
        <v/>
      </c>
      <c r="M36" s="118">
        <f>IF('G2 MT Reading Scoresheet'!M36&lt;&gt;"",'G2 MT Reading Scoresheet'!M36,"")</f>
        <v/>
      </c>
      <c r="N36" s="81">
        <f>IF('G2 MT Reading Scoresheet'!N36&lt;&gt;"",'G2 MT Reading Scoresheet'!N36,"")</f>
        <v/>
      </c>
      <c r="O36" s="81">
        <f>IF('G2 MT Reading Scoresheet'!O36&lt;&gt;"",'G2 MT Reading Scoresheet'!O36,"")</f>
        <v/>
      </c>
      <c r="P36" s="118">
        <f>IF('G2 MT Reading Scoresheet'!P36&lt;&gt;"",'G2 MT Reading Scoresheet'!P36,"")</f>
        <v/>
      </c>
      <c r="Q36" s="122">
        <f>IF('G2 MT Reading Scoresheet'!Q36&lt;&gt;"",'G2 MT Reading Scoresheet'!Q36,"")</f>
        <v/>
      </c>
      <c r="R36" s="81">
        <f>IF('G2 MT Reading Scoresheet'!R36&lt;&gt;"",'G2 MT Reading Scoresheet'!R36,"")</f>
        <v/>
      </c>
      <c r="S36" s="81">
        <f>IF('G2 MT Reading Scoresheet'!S36&lt;&gt;"",'G2 MT Reading Scoresheet'!S36,"")</f>
        <v/>
      </c>
      <c r="T36" s="82">
        <f>IF('G2 MT Reading Scoresheet'!T36&lt;&gt;"",'G2 MT Reading Scoresheet'!T36,"")</f>
        <v/>
      </c>
      <c r="U36" s="87">
        <f>IF('G2 MT Reading Scoresheet'!U36&lt;&gt;"",'G2 MT Reading Scoresheet'!U36,"")</f>
        <v/>
      </c>
      <c r="V36" s="271" t="n"/>
      <c r="Y36" s="221">
        <f>IF(C36&lt;&gt;"",R36/6,"")</f>
        <v/>
      </c>
    </row>
    <row r="37" ht="14.4" customHeight="1" s="346">
      <c r="A37" s="5" t="n">
        <v>27</v>
      </c>
      <c r="B37" s="118">
        <f>IF('G2 MT Reading Scoresheet'!B37&lt;&gt;"",'G2 MT Reading Scoresheet'!B37,"")</f>
        <v/>
      </c>
      <c r="C37" s="133">
        <f>IF('G2 MT Reading Scoresheet'!C37&lt;&gt;"",'G2 MT Reading Scoresheet'!C37,"")</f>
        <v/>
      </c>
      <c r="D37" s="134">
        <f>IF('G2 MT Reading Scoresheet'!D37&lt;&gt;"",'G2 MT Reading Scoresheet'!D37,"")</f>
        <v/>
      </c>
      <c r="E37" s="135">
        <f>IF('G2 MT Reading Scoresheet'!E37&lt;&gt;"",'G2 MT Reading Scoresheet'!E37,"")</f>
        <v/>
      </c>
      <c r="F37" s="272">
        <f>IF('G2 MT Reading Scoresheet'!F37&lt;&gt;"",'G2 MT Reading Scoresheet'!F37,"")</f>
        <v/>
      </c>
      <c r="G37" s="262">
        <f>IF('G2 MT Reading Scoresheet'!G37&lt;&gt;"",'G2 MT Reading Scoresheet'!G37,"")</f>
        <v/>
      </c>
      <c r="H37" s="273">
        <f>IF('G2 MT Reading Scoresheet'!H37&lt;&gt;"",'G2 MT Reading Scoresheet'!H37,"")</f>
        <v/>
      </c>
      <c r="I37" s="81">
        <f>IF('G2 MT Reading Scoresheet'!I37&lt;&gt;"",'G2 MT Reading Scoresheet'!I37,"")</f>
        <v/>
      </c>
      <c r="J37" s="82">
        <f>IF('G2 MT Reading Scoresheet'!J37&lt;&gt;"",'G2 MT Reading Scoresheet'!J37,"")</f>
        <v/>
      </c>
      <c r="K37" s="274">
        <f>IF('G2 MT Reading Scoresheet'!K37&lt;&gt;"",'G2 MT Reading Scoresheet'!K37,"")</f>
        <v/>
      </c>
      <c r="L37" s="275">
        <f>IF('G2 MT Reading Scoresheet'!L37&lt;&gt;"",'G2 MT Reading Scoresheet'!L37,"")</f>
        <v/>
      </c>
      <c r="M37" s="118">
        <f>IF('G2 MT Reading Scoresheet'!M37&lt;&gt;"",'G2 MT Reading Scoresheet'!M37,"")</f>
        <v/>
      </c>
      <c r="N37" s="273">
        <f>IF('G2 MT Reading Scoresheet'!N37&lt;&gt;"",'G2 MT Reading Scoresheet'!N37,"")</f>
        <v/>
      </c>
      <c r="O37" s="273">
        <f>IF('G2 MT Reading Scoresheet'!O37&lt;&gt;"",'G2 MT Reading Scoresheet'!O37,"")</f>
        <v/>
      </c>
      <c r="P37" s="118">
        <f>IF('G2 MT Reading Scoresheet'!P37&lt;&gt;"",'G2 MT Reading Scoresheet'!P37,"")</f>
        <v/>
      </c>
      <c r="Q37" s="122">
        <f>IF('G2 MT Reading Scoresheet'!Q37&lt;&gt;"",'G2 MT Reading Scoresheet'!Q37,"")</f>
        <v/>
      </c>
      <c r="R37" s="273">
        <f>IF('G2 MT Reading Scoresheet'!R37&lt;&gt;"",'G2 MT Reading Scoresheet'!R37,"")</f>
        <v/>
      </c>
      <c r="S37" s="273">
        <f>IF('G2 MT Reading Scoresheet'!S37&lt;&gt;"",'G2 MT Reading Scoresheet'!S37,"")</f>
        <v/>
      </c>
      <c r="T37" s="276">
        <f>IF('G2 MT Reading Scoresheet'!T37&lt;&gt;"",'G2 MT Reading Scoresheet'!T37,"")</f>
        <v/>
      </c>
      <c r="U37" s="87">
        <f>IF('G2 MT Reading Scoresheet'!U37&lt;&gt;"",'G2 MT Reading Scoresheet'!U37,"")</f>
        <v/>
      </c>
      <c r="V37" s="277" t="n"/>
      <c r="Y37" s="221">
        <f>IF(C37&lt;&gt;"",R37/6,"")</f>
        <v/>
      </c>
    </row>
    <row r="38" ht="14.4" customHeight="1" s="346">
      <c r="A38" s="4" t="n">
        <v>28</v>
      </c>
      <c r="B38" s="118">
        <f>IF('G2 MT Reading Scoresheet'!B38&lt;&gt;"",'G2 MT Reading Scoresheet'!B38,"")</f>
        <v/>
      </c>
      <c r="C38" s="133">
        <f>IF('G2 MT Reading Scoresheet'!C38&lt;&gt;"",'G2 MT Reading Scoresheet'!C38,"")</f>
        <v/>
      </c>
      <c r="D38" s="134">
        <f>IF('G2 MT Reading Scoresheet'!D38&lt;&gt;"",'G2 MT Reading Scoresheet'!D38,"")</f>
        <v/>
      </c>
      <c r="E38" s="135">
        <f>IF('G2 MT Reading Scoresheet'!E38&lt;&gt;"",'G2 MT Reading Scoresheet'!E38,"")</f>
        <v/>
      </c>
      <c r="F38" s="268">
        <f>IF('G2 MT Reading Scoresheet'!F38&lt;&gt;"",'G2 MT Reading Scoresheet'!F38,"")</f>
        <v/>
      </c>
      <c r="G38" s="269">
        <f>IF('G2 MT Reading Scoresheet'!G38&lt;&gt;"",'G2 MT Reading Scoresheet'!G38,"")</f>
        <v/>
      </c>
      <c r="H38" s="81">
        <f>IF('G2 MT Reading Scoresheet'!H38&lt;&gt;"",'G2 MT Reading Scoresheet'!H38,"")</f>
        <v/>
      </c>
      <c r="I38" s="81">
        <f>IF('G2 MT Reading Scoresheet'!I38&lt;&gt;"",'G2 MT Reading Scoresheet'!I38,"")</f>
        <v/>
      </c>
      <c r="J38" s="82">
        <f>IF('G2 MT Reading Scoresheet'!J38&lt;&gt;"",'G2 MT Reading Scoresheet'!J38,"")</f>
        <v/>
      </c>
      <c r="K38" s="270">
        <f>IF('G2 MT Reading Scoresheet'!K38&lt;&gt;"",'G2 MT Reading Scoresheet'!K38,"")</f>
        <v/>
      </c>
      <c r="L38" s="87">
        <f>IF('G2 MT Reading Scoresheet'!L38&lt;&gt;"",'G2 MT Reading Scoresheet'!L38,"")</f>
        <v/>
      </c>
      <c r="M38" s="118">
        <f>IF('G2 MT Reading Scoresheet'!M38&lt;&gt;"",'G2 MT Reading Scoresheet'!M38,"")</f>
        <v/>
      </c>
      <c r="N38" s="81">
        <f>IF('G2 MT Reading Scoresheet'!N38&lt;&gt;"",'G2 MT Reading Scoresheet'!N38,"")</f>
        <v/>
      </c>
      <c r="O38" s="81">
        <f>IF('G2 MT Reading Scoresheet'!O38&lt;&gt;"",'G2 MT Reading Scoresheet'!O38,"")</f>
        <v/>
      </c>
      <c r="P38" s="118">
        <f>IF('G2 MT Reading Scoresheet'!P38&lt;&gt;"",'G2 MT Reading Scoresheet'!P38,"")</f>
        <v/>
      </c>
      <c r="Q38" s="122">
        <f>IF('G2 MT Reading Scoresheet'!Q38&lt;&gt;"",'G2 MT Reading Scoresheet'!Q38,"")</f>
        <v/>
      </c>
      <c r="R38" s="81">
        <f>IF('G2 MT Reading Scoresheet'!R38&lt;&gt;"",'G2 MT Reading Scoresheet'!R38,"")</f>
        <v/>
      </c>
      <c r="S38" s="81">
        <f>IF('G2 MT Reading Scoresheet'!S38&lt;&gt;"",'G2 MT Reading Scoresheet'!S38,"")</f>
        <v/>
      </c>
      <c r="T38" s="82">
        <f>IF('G2 MT Reading Scoresheet'!T38&lt;&gt;"",'G2 MT Reading Scoresheet'!T38,"")</f>
        <v/>
      </c>
      <c r="U38" s="87">
        <f>IF('G2 MT Reading Scoresheet'!U38&lt;&gt;"",'G2 MT Reading Scoresheet'!U38,"")</f>
        <v/>
      </c>
      <c r="V38" s="271" t="n"/>
      <c r="Y38" s="221">
        <f>IF(C38&lt;&gt;"",R38/6,"")</f>
        <v/>
      </c>
    </row>
    <row r="39" ht="14.4" customHeight="1" s="346">
      <c r="A39" s="5" t="n">
        <v>29</v>
      </c>
      <c r="B39" s="118">
        <f>IF('G2 MT Reading Scoresheet'!B39&lt;&gt;"",'G2 MT Reading Scoresheet'!B39,"")</f>
        <v/>
      </c>
      <c r="C39" s="133">
        <f>IF('G2 MT Reading Scoresheet'!C39&lt;&gt;"",'G2 MT Reading Scoresheet'!C39,"")</f>
        <v/>
      </c>
      <c r="D39" s="134">
        <f>IF('G2 MT Reading Scoresheet'!D39&lt;&gt;"",'G2 MT Reading Scoresheet'!D39,"")</f>
        <v/>
      </c>
      <c r="E39" s="135">
        <f>IF('G2 MT Reading Scoresheet'!E39&lt;&gt;"",'G2 MT Reading Scoresheet'!E39,"")</f>
        <v/>
      </c>
      <c r="F39" s="272">
        <f>IF('G2 MT Reading Scoresheet'!F39&lt;&gt;"",'G2 MT Reading Scoresheet'!F39,"")</f>
        <v/>
      </c>
      <c r="G39" s="262">
        <f>IF('G2 MT Reading Scoresheet'!G39&lt;&gt;"",'G2 MT Reading Scoresheet'!G39,"")</f>
        <v/>
      </c>
      <c r="H39" s="273">
        <f>IF('G2 MT Reading Scoresheet'!H39&lt;&gt;"",'G2 MT Reading Scoresheet'!H39,"")</f>
        <v/>
      </c>
      <c r="I39" s="81">
        <f>IF('G2 MT Reading Scoresheet'!I39&lt;&gt;"",'G2 MT Reading Scoresheet'!I39,"")</f>
        <v/>
      </c>
      <c r="J39" s="82">
        <f>IF('G2 MT Reading Scoresheet'!J39&lt;&gt;"",'G2 MT Reading Scoresheet'!J39,"")</f>
        <v/>
      </c>
      <c r="K39" s="274">
        <f>IF('G2 MT Reading Scoresheet'!K39&lt;&gt;"",'G2 MT Reading Scoresheet'!K39,"")</f>
        <v/>
      </c>
      <c r="L39" s="275">
        <f>IF('G2 MT Reading Scoresheet'!L39&lt;&gt;"",'G2 MT Reading Scoresheet'!L39,"")</f>
        <v/>
      </c>
      <c r="M39" s="118">
        <f>IF('G2 MT Reading Scoresheet'!M39&lt;&gt;"",'G2 MT Reading Scoresheet'!M39,"")</f>
        <v/>
      </c>
      <c r="N39" s="273">
        <f>IF('G2 MT Reading Scoresheet'!N39&lt;&gt;"",'G2 MT Reading Scoresheet'!N39,"")</f>
        <v/>
      </c>
      <c r="O39" s="273">
        <f>IF('G2 MT Reading Scoresheet'!O39&lt;&gt;"",'G2 MT Reading Scoresheet'!O39,"")</f>
        <v/>
      </c>
      <c r="P39" s="118">
        <f>IF('G2 MT Reading Scoresheet'!P39&lt;&gt;"",'G2 MT Reading Scoresheet'!P39,"")</f>
        <v/>
      </c>
      <c r="Q39" s="122">
        <f>IF('G2 MT Reading Scoresheet'!Q39&lt;&gt;"",'G2 MT Reading Scoresheet'!Q39,"")</f>
        <v/>
      </c>
      <c r="R39" s="273">
        <f>IF('G2 MT Reading Scoresheet'!R39&lt;&gt;"",'G2 MT Reading Scoresheet'!R39,"")</f>
        <v/>
      </c>
      <c r="S39" s="273">
        <f>IF('G2 MT Reading Scoresheet'!S39&lt;&gt;"",'G2 MT Reading Scoresheet'!S39,"")</f>
        <v/>
      </c>
      <c r="T39" s="276">
        <f>IF('G2 MT Reading Scoresheet'!T39&lt;&gt;"",'G2 MT Reading Scoresheet'!T39,"")</f>
        <v/>
      </c>
      <c r="U39" s="87">
        <f>IF('G2 MT Reading Scoresheet'!U39&lt;&gt;"",'G2 MT Reading Scoresheet'!U39,"")</f>
        <v/>
      </c>
      <c r="V39" s="277" t="n"/>
      <c r="Y39" s="221">
        <f>IF(C39&lt;&gt;"",R39/6,"")</f>
        <v/>
      </c>
    </row>
    <row r="40" ht="14.4" customHeight="1" s="346">
      <c r="A40" s="4" t="n">
        <v>30</v>
      </c>
      <c r="B40" s="118">
        <f>IF('G2 MT Reading Scoresheet'!B40&lt;&gt;"",'G2 MT Reading Scoresheet'!B40,"")</f>
        <v/>
      </c>
      <c r="C40" s="133">
        <f>IF('G2 MT Reading Scoresheet'!C40&lt;&gt;"",'G2 MT Reading Scoresheet'!C40,"")</f>
        <v/>
      </c>
      <c r="D40" s="134">
        <f>IF('G2 MT Reading Scoresheet'!D40&lt;&gt;"",'G2 MT Reading Scoresheet'!D40,"")</f>
        <v/>
      </c>
      <c r="E40" s="135">
        <f>IF('G2 MT Reading Scoresheet'!E40&lt;&gt;"",'G2 MT Reading Scoresheet'!E40,"")</f>
        <v/>
      </c>
      <c r="F40" s="268">
        <f>IF('G2 MT Reading Scoresheet'!F40&lt;&gt;"",'G2 MT Reading Scoresheet'!F40,"")</f>
        <v/>
      </c>
      <c r="G40" s="269">
        <f>IF('G2 MT Reading Scoresheet'!G40&lt;&gt;"",'G2 MT Reading Scoresheet'!G40,"")</f>
        <v/>
      </c>
      <c r="H40" s="81">
        <f>IF('G2 MT Reading Scoresheet'!H40&lt;&gt;"",'G2 MT Reading Scoresheet'!H40,"")</f>
        <v/>
      </c>
      <c r="I40" s="81">
        <f>IF('G2 MT Reading Scoresheet'!I40&lt;&gt;"",'G2 MT Reading Scoresheet'!I40,"")</f>
        <v/>
      </c>
      <c r="J40" s="82">
        <f>IF('G2 MT Reading Scoresheet'!J40&lt;&gt;"",'G2 MT Reading Scoresheet'!J40,"")</f>
        <v/>
      </c>
      <c r="K40" s="270">
        <f>IF('G2 MT Reading Scoresheet'!K40&lt;&gt;"",'G2 MT Reading Scoresheet'!K40,"")</f>
        <v/>
      </c>
      <c r="L40" s="87">
        <f>IF('G2 MT Reading Scoresheet'!L40&lt;&gt;"",'G2 MT Reading Scoresheet'!L40,"")</f>
        <v/>
      </c>
      <c r="M40" s="118">
        <f>IF('G2 MT Reading Scoresheet'!M40&lt;&gt;"",'G2 MT Reading Scoresheet'!M40,"")</f>
        <v/>
      </c>
      <c r="N40" s="81">
        <f>IF('G2 MT Reading Scoresheet'!N40&lt;&gt;"",'G2 MT Reading Scoresheet'!N40,"")</f>
        <v/>
      </c>
      <c r="O40" s="81">
        <f>IF('G2 MT Reading Scoresheet'!O40&lt;&gt;"",'G2 MT Reading Scoresheet'!O40,"")</f>
        <v/>
      </c>
      <c r="P40" s="118">
        <f>IF('G2 MT Reading Scoresheet'!P40&lt;&gt;"",'G2 MT Reading Scoresheet'!P40,"")</f>
        <v/>
      </c>
      <c r="Q40" s="122">
        <f>IF('G2 MT Reading Scoresheet'!Q40&lt;&gt;"",'G2 MT Reading Scoresheet'!Q40,"")</f>
        <v/>
      </c>
      <c r="R40" s="81">
        <f>IF('G2 MT Reading Scoresheet'!R40&lt;&gt;"",'G2 MT Reading Scoresheet'!R40,"")</f>
        <v/>
      </c>
      <c r="S40" s="81">
        <f>IF('G2 MT Reading Scoresheet'!S40&lt;&gt;"",'G2 MT Reading Scoresheet'!S40,"")</f>
        <v/>
      </c>
      <c r="T40" s="82">
        <f>IF('G2 MT Reading Scoresheet'!T40&lt;&gt;"",'G2 MT Reading Scoresheet'!T40,"")</f>
        <v/>
      </c>
      <c r="U40" s="87">
        <f>IF('G2 MT Reading Scoresheet'!U40&lt;&gt;"",'G2 MT Reading Scoresheet'!U40,"")</f>
        <v/>
      </c>
      <c r="V40" s="271" t="n"/>
      <c r="Y40" s="221">
        <f>IF(C40&lt;&gt;"",R40/6,"")</f>
        <v/>
      </c>
    </row>
    <row r="41" ht="14.4" customHeight="1" s="346">
      <c r="A41" s="5" t="n">
        <v>31</v>
      </c>
      <c r="B41" s="118">
        <f>IF('G2 MT Reading Scoresheet'!B41&lt;&gt;"",'G2 MT Reading Scoresheet'!B41,"")</f>
        <v/>
      </c>
      <c r="C41" s="133">
        <f>IF('G2 MT Reading Scoresheet'!C41&lt;&gt;"",'G2 MT Reading Scoresheet'!C41,"")</f>
        <v/>
      </c>
      <c r="D41" s="134">
        <f>IF('G2 MT Reading Scoresheet'!D41&lt;&gt;"",'G2 MT Reading Scoresheet'!D41,"")</f>
        <v/>
      </c>
      <c r="E41" s="135">
        <f>IF('G2 MT Reading Scoresheet'!E41&lt;&gt;"",'G2 MT Reading Scoresheet'!E41,"")</f>
        <v/>
      </c>
      <c r="F41" s="272">
        <f>IF('G2 MT Reading Scoresheet'!F41&lt;&gt;"",'G2 MT Reading Scoresheet'!F41,"")</f>
        <v/>
      </c>
      <c r="G41" s="262">
        <f>IF('G2 MT Reading Scoresheet'!G41&lt;&gt;"",'G2 MT Reading Scoresheet'!G41,"")</f>
        <v/>
      </c>
      <c r="H41" s="273">
        <f>IF('G2 MT Reading Scoresheet'!H41&lt;&gt;"",'G2 MT Reading Scoresheet'!H41,"")</f>
        <v/>
      </c>
      <c r="I41" s="81">
        <f>IF('G2 MT Reading Scoresheet'!I41&lt;&gt;"",'G2 MT Reading Scoresheet'!I41,"")</f>
        <v/>
      </c>
      <c r="J41" s="82">
        <f>IF('G2 MT Reading Scoresheet'!J41&lt;&gt;"",'G2 MT Reading Scoresheet'!J41,"")</f>
        <v/>
      </c>
      <c r="K41" s="274">
        <f>IF('G2 MT Reading Scoresheet'!K41&lt;&gt;"",'G2 MT Reading Scoresheet'!K41,"")</f>
        <v/>
      </c>
      <c r="L41" s="275">
        <f>IF('G2 MT Reading Scoresheet'!L41&lt;&gt;"",'G2 MT Reading Scoresheet'!L41,"")</f>
        <v/>
      </c>
      <c r="M41" s="118">
        <f>IF('G2 MT Reading Scoresheet'!M41&lt;&gt;"",'G2 MT Reading Scoresheet'!M41,"")</f>
        <v/>
      </c>
      <c r="N41" s="273">
        <f>IF('G2 MT Reading Scoresheet'!N41&lt;&gt;"",'G2 MT Reading Scoresheet'!N41,"")</f>
        <v/>
      </c>
      <c r="O41" s="273">
        <f>IF('G2 MT Reading Scoresheet'!O41&lt;&gt;"",'G2 MT Reading Scoresheet'!O41,"")</f>
        <v/>
      </c>
      <c r="P41" s="118">
        <f>IF('G2 MT Reading Scoresheet'!P41&lt;&gt;"",'G2 MT Reading Scoresheet'!P41,"")</f>
        <v/>
      </c>
      <c r="Q41" s="122">
        <f>IF('G2 MT Reading Scoresheet'!Q41&lt;&gt;"",'G2 MT Reading Scoresheet'!Q41,"")</f>
        <v/>
      </c>
      <c r="R41" s="273">
        <f>IF('G2 MT Reading Scoresheet'!R41&lt;&gt;"",'G2 MT Reading Scoresheet'!R41,"")</f>
        <v/>
      </c>
      <c r="S41" s="273">
        <f>IF('G2 MT Reading Scoresheet'!S41&lt;&gt;"",'G2 MT Reading Scoresheet'!S41,"")</f>
        <v/>
      </c>
      <c r="T41" s="276">
        <f>IF('G2 MT Reading Scoresheet'!T41&lt;&gt;"",'G2 MT Reading Scoresheet'!T41,"")</f>
        <v/>
      </c>
      <c r="U41" s="87">
        <f>IF('G2 MT Reading Scoresheet'!U41&lt;&gt;"",'G2 MT Reading Scoresheet'!U41,"")</f>
        <v/>
      </c>
      <c r="V41" s="277" t="n"/>
      <c r="Y41" s="221">
        <f>IF(C41&lt;&gt;"",R41/6,"")</f>
        <v/>
      </c>
    </row>
    <row r="42" ht="14.4" customHeight="1" s="346">
      <c r="A42" s="4" t="n">
        <v>32</v>
      </c>
      <c r="B42" s="118">
        <f>IF('G2 MT Reading Scoresheet'!B42&lt;&gt;"",'G2 MT Reading Scoresheet'!B42,"")</f>
        <v/>
      </c>
      <c r="C42" s="133">
        <f>IF('G2 MT Reading Scoresheet'!C42&lt;&gt;"",'G2 MT Reading Scoresheet'!C42,"")</f>
        <v/>
      </c>
      <c r="D42" s="134">
        <f>IF('G2 MT Reading Scoresheet'!D42&lt;&gt;"",'G2 MT Reading Scoresheet'!D42,"")</f>
        <v/>
      </c>
      <c r="E42" s="135">
        <f>IF('G2 MT Reading Scoresheet'!E42&lt;&gt;"",'G2 MT Reading Scoresheet'!E42,"")</f>
        <v/>
      </c>
      <c r="F42" s="268">
        <f>IF('G2 MT Reading Scoresheet'!F42&lt;&gt;"",'G2 MT Reading Scoresheet'!F42,"")</f>
        <v/>
      </c>
      <c r="G42" s="269">
        <f>IF('G2 MT Reading Scoresheet'!G42&lt;&gt;"",'G2 MT Reading Scoresheet'!G42,"")</f>
        <v/>
      </c>
      <c r="H42" s="81">
        <f>IF('G2 MT Reading Scoresheet'!H42&lt;&gt;"",'G2 MT Reading Scoresheet'!H42,"")</f>
        <v/>
      </c>
      <c r="I42" s="81">
        <f>IF('G2 MT Reading Scoresheet'!I42&lt;&gt;"",'G2 MT Reading Scoresheet'!I42,"")</f>
        <v/>
      </c>
      <c r="J42" s="82">
        <f>IF('G2 MT Reading Scoresheet'!J42&lt;&gt;"",'G2 MT Reading Scoresheet'!J42,"")</f>
        <v/>
      </c>
      <c r="K42" s="270">
        <f>IF('G2 MT Reading Scoresheet'!K42&lt;&gt;"",'G2 MT Reading Scoresheet'!K42,"")</f>
        <v/>
      </c>
      <c r="L42" s="87">
        <f>IF('G2 MT Reading Scoresheet'!L42&lt;&gt;"",'G2 MT Reading Scoresheet'!L42,"")</f>
        <v/>
      </c>
      <c r="M42" s="118">
        <f>IF('G2 MT Reading Scoresheet'!M42&lt;&gt;"",'G2 MT Reading Scoresheet'!M42,"")</f>
        <v/>
      </c>
      <c r="N42" s="81">
        <f>IF('G2 MT Reading Scoresheet'!N42&lt;&gt;"",'G2 MT Reading Scoresheet'!N42,"")</f>
        <v/>
      </c>
      <c r="O42" s="81">
        <f>IF('G2 MT Reading Scoresheet'!O42&lt;&gt;"",'G2 MT Reading Scoresheet'!O42,"")</f>
        <v/>
      </c>
      <c r="P42" s="118">
        <f>IF('G2 MT Reading Scoresheet'!P42&lt;&gt;"",'G2 MT Reading Scoresheet'!P42,"")</f>
        <v/>
      </c>
      <c r="Q42" s="122">
        <f>IF('G2 MT Reading Scoresheet'!Q42&lt;&gt;"",'G2 MT Reading Scoresheet'!Q42,"")</f>
        <v/>
      </c>
      <c r="R42" s="81">
        <f>IF('G2 MT Reading Scoresheet'!R42&lt;&gt;"",'G2 MT Reading Scoresheet'!R42,"")</f>
        <v/>
      </c>
      <c r="S42" s="81">
        <f>IF('G2 MT Reading Scoresheet'!S42&lt;&gt;"",'G2 MT Reading Scoresheet'!S42,"")</f>
        <v/>
      </c>
      <c r="T42" s="82">
        <f>IF('G2 MT Reading Scoresheet'!T42&lt;&gt;"",'G2 MT Reading Scoresheet'!T42,"")</f>
        <v/>
      </c>
      <c r="U42" s="87">
        <f>IF('G2 MT Reading Scoresheet'!U42&lt;&gt;"",'G2 MT Reading Scoresheet'!U42,"")</f>
        <v/>
      </c>
      <c r="V42" s="271" t="n"/>
      <c r="Y42" s="221">
        <f>IF(C42&lt;&gt;"",R42/6,"")</f>
        <v/>
      </c>
    </row>
    <row r="43" ht="14.4" customHeight="1" s="346">
      <c r="A43" s="5" t="n">
        <v>33</v>
      </c>
      <c r="B43" s="118">
        <f>IF('G2 MT Reading Scoresheet'!B43&lt;&gt;"",'G2 MT Reading Scoresheet'!B43,"")</f>
        <v/>
      </c>
      <c r="C43" s="133">
        <f>IF('G2 MT Reading Scoresheet'!C43&lt;&gt;"",'G2 MT Reading Scoresheet'!C43,"")</f>
        <v/>
      </c>
      <c r="D43" s="134">
        <f>IF('G2 MT Reading Scoresheet'!D43&lt;&gt;"",'G2 MT Reading Scoresheet'!D43,"")</f>
        <v/>
      </c>
      <c r="E43" s="135">
        <f>IF('G2 MT Reading Scoresheet'!E43&lt;&gt;"",'G2 MT Reading Scoresheet'!E43,"")</f>
        <v/>
      </c>
      <c r="F43" s="272">
        <f>IF('G2 MT Reading Scoresheet'!F43&lt;&gt;"",'G2 MT Reading Scoresheet'!F43,"")</f>
        <v/>
      </c>
      <c r="G43" s="262">
        <f>IF('G2 MT Reading Scoresheet'!G43&lt;&gt;"",'G2 MT Reading Scoresheet'!G43,"")</f>
        <v/>
      </c>
      <c r="H43" s="273">
        <f>IF('G2 MT Reading Scoresheet'!H43&lt;&gt;"",'G2 MT Reading Scoresheet'!H43,"")</f>
        <v/>
      </c>
      <c r="I43" s="81">
        <f>IF('G2 MT Reading Scoresheet'!I43&lt;&gt;"",'G2 MT Reading Scoresheet'!I43,"")</f>
        <v/>
      </c>
      <c r="J43" s="82">
        <f>IF('G2 MT Reading Scoresheet'!J43&lt;&gt;"",'G2 MT Reading Scoresheet'!J43,"")</f>
        <v/>
      </c>
      <c r="K43" s="274">
        <f>IF('G2 MT Reading Scoresheet'!K43&lt;&gt;"",'G2 MT Reading Scoresheet'!K43,"")</f>
        <v/>
      </c>
      <c r="L43" s="275">
        <f>IF('G2 MT Reading Scoresheet'!L43&lt;&gt;"",'G2 MT Reading Scoresheet'!L43,"")</f>
        <v/>
      </c>
      <c r="M43" s="118">
        <f>IF('G2 MT Reading Scoresheet'!M43&lt;&gt;"",'G2 MT Reading Scoresheet'!M43,"")</f>
        <v/>
      </c>
      <c r="N43" s="273">
        <f>IF('G2 MT Reading Scoresheet'!N43&lt;&gt;"",'G2 MT Reading Scoresheet'!N43,"")</f>
        <v/>
      </c>
      <c r="O43" s="273">
        <f>IF('G2 MT Reading Scoresheet'!O43&lt;&gt;"",'G2 MT Reading Scoresheet'!O43,"")</f>
        <v/>
      </c>
      <c r="P43" s="118">
        <f>IF('G2 MT Reading Scoresheet'!P43&lt;&gt;"",'G2 MT Reading Scoresheet'!P43,"")</f>
        <v/>
      </c>
      <c r="Q43" s="122">
        <f>IF('G2 MT Reading Scoresheet'!Q43&lt;&gt;"",'G2 MT Reading Scoresheet'!Q43,"")</f>
        <v/>
      </c>
      <c r="R43" s="273">
        <f>IF('G2 MT Reading Scoresheet'!R43&lt;&gt;"",'G2 MT Reading Scoresheet'!R43,"")</f>
        <v/>
      </c>
      <c r="S43" s="273">
        <f>IF('G2 MT Reading Scoresheet'!S43&lt;&gt;"",'G2 MT Reading Scoresheet'!S43,"")</f>
        <v/>
      </c>
      <c r="T43" s="276">
        <f>IF('G2 MT Reading Scoresheet'!T43&lt;&gt;"",'G2 MT Reading Scoresheet'!T43,"")</f>
        <v/>
      </c>
      <c r="U43" s="87">
        <f>IF('G2 MT Reading Scoresheet'!U43&lt;&gt;"",'G2 MT Reading Scoresheet'!U43,"")</f>
        <v/>
      </c>
      <c r="V43" s="277" t="n"/>
      <c r="Y43" s="221">
        <f>IF(C43&lt;&gt;"",R43/6,"")</f>
        <v/>
      </c>
    </row>
    <row r="44" ht="14.4" customHeight="1" s="346">
      <c r="A44" s="4" t="n">
        <v>34</v>
      </c>
      <c r="B44" s="118">
        <f>IF('G2 MT Reading Scoresheet'!B44&lt;&gt;"",'G2 MT Reading Scoresheet'!B44,"")</f>
        <v/>
      </c>
      <c r="C44" s="133">
        <f>IF('G2 MT Reading Scoresheet'!C44&lt;&gt;"",'G2 MT Reading Scoresheet'!C44,"")</f>
        <v/>
      </c>
      <c r="D44" s="134">
        <f>IF('G2 MT Reading Scoresheet'!D44&lt;&gt;"",'G2 MT Reading Scoresheet'!D44,"")</f>
        <v/>
      </c>
      <c r="E44" s="135">
        <f>IF('G2 MT Reading Scoresheet'!E44&lt;&gt;"",'G2 MT Reading Scoresheet'!E44,"")</f>
        <v/>
      </c>
      <c r="F44" s="268">
        <f>IF('G2 MT Reading Scoresheet'!F44&lt;&gt;"",'G2 MT Reading Scoresheet'!F44,"")</f>
        <v/>
      </c>
      <c r="G44" s="269">
        <f>IF('G2 MT Reading Scoresheet'!G44&lt;&gt;"",'G2 MT Reading Scoresheet'!G44,"")</f>
        <v/>
      </c>
      <c r="H44" s="81">
        <f>IF('G2 MT Reading Scoresheet'!H44&lt;&gt;"",'G2 MT Reading Scoresheet'!H44,"")</f>
        <v/>
      </c>
      <c r="I44" s="81">
        <f>IF('G2 MT Reading Scoresheet'!I44&lt;&gt;"",'G2 MT Reading Scoresheet'!I44,"")</f>
        <v/>
      </c>
      <c r="J44" s="82">
        <f>IF('G2 MT Reading Scoresheet'!J44&lt;&gt;"",'G2 MT Reading Scoresheet'!J44,"")</f>
        <v/>
      </c>
      <c r="K44" s="270">
        <f>IF('G2 MT Reading Scoresheet'!K44&lt;&gt;"",'G2 MT Reading Scoresheet'!K44,"")</f>
        <v/>
      </c>
      <c r="L44" s="87">
        <f>IF('G2 MT Reading Scoresheet'!L44&lt;&gt;"",'G2 MT Reading Scoresheet'!L44,"")</f>
        <v/>
      </c>
      <c r="M44" s="118">
        <f>IF('G2 MT Reading Scoresheet'!M44&lt;&gt;"",'G2 MT Reading Scoresheet'!M44,"")</f>
        <v/>
      </c>
      <c r="N44" s="81">
        <f>IF('G2 MT Reading Scoresheet'!N44&lt;&gt;"",'G2 MT Reading Scoresheet'!N44,"")</f>
        <v/>
      </c>
      <c r="O44" s="81">
        <f>IF('G2 MT Reading Scoresheet'!O44&lt;&gt;"",'G2 MT Reading Scoresheet'!O44,"")</f>
        <v/>
      </c>
      <c r="P44" s="118">
        <f>IF('G2 MT Reading Scoresheet'!P44&lt;&gt;"",'G2 MT Reading Scoresheet'!P44,"")</f>
        <v/>
      </c>
      <c r="Q44" s="122">
        <f>IF('G2 MT Reading Scoresheet'!Q44&lt;&gt;"",'G2 MT Reading Scoresheet'!Q44,"")</f>
        <v/>
      </c>
      <c r="R44" s="81">
        <f>IF('G2 MT Reading Scoresheet'!R44&lt;&gt;"",'G2 MT Reading Scoresheet'!R44,"")</f>
        <v/>
      </c>
      <c r="S44" s="81">
        <f>IF('G2 MT Reading Scoresheet'!S44&lt;&gt;"",'G2 MT Reading Scoresheet'!S44,"")</f>
        <v/>
      </c>
      <c r="T44" s="82">
        <f>IF('G2 MT Reading Scoresheet'!T44&lt;&gt;"",'G2 MT Reading Scoresheet'!T44,"")</f>
        <v/>
      </c>
      <c r="U44" s="87">
        <f>IF('G2 MT Reading Scoresheet'!U44&lt;&gt;"",'G2 MT Reading Scoresheet'!U44,"")</f>
        <v/>
      </c>
      <c r="V44" s="271" t="n"/>
      <c r="Y44" s="221">
        <f>IF(C44&lt;&gt;"",R44/6,"")</f>
        <v/>
      </c>
    </row>
    <row r="45" ht="14.4" customHeight="1" s="346">
      <c r="A45" s="5" t="n">
        <v>35</v>
      </c>
      <c r="B45" s="118">
        <f>IF('G2 MT Reading Scoresheet'!B45&lt;&gt;"",'G2 MT Reading Scoresheet'!B45,"")</f>
        <v/>
      </c>
      <c r="C45" s="133">
        <f>IF('G2 MT Reading Scoresheet'!C45&lt;&gt;"",'G2 MT Reading Scoresheet'!C45,"")</f>
        <v/>
      </c>
      <c r="D45" s="134">
        <f>IF('G2 MT Reading Scoresheet'!D45&lt;&gt;"",'G2 MT Reading Scoresheet'!D45,"")</f>
        <v/>
      </c>
      <c r="E45" s="135">
        <f>IF('G2 MT Reading Scoresheet'!E45&lt;&gt;"",'G2 MT Reading Scoresheet'!E45,"")</f>
        <v/>
      </c>
      <c r="F45" s="272">
        <f>IF('G2 MT Reading Scoresheet'!F45&lt;&gt;"",'G2 MT Reading Scoresheet'!F45,"")</f>
        <v/>
      </c>
      <c r="G45" s="262">
        <f>IF('G2 MT Reading Scoresheet'!G45&lt;&gt;"",'G2 MT Reading Scoresheet'!G45,"")</f>
        <v/>
      </c>
      <c r="H45" s="273">
        <f>IF('G2 MT Reading Scoresheet'!H45&lt;&gt;"",'G2 MT Reading Scoresheet'!H45,"")</f>
        <v/>
      </c>
      <c r="I45" s="81">
        <f>IF('G2 MT Reading Scoresheet'!I45&lt;&gt;"",'G2 MT Reading Scoresheet'!I45,"")</f>
        <v/>
      </c>
      <c r="J45" s="82">
        <f>IF('G2 MT Reading Scoresheet'!J45&lt;&gt;"",'G2 MT Reading Scoresheet'!J45,"")</f>
        <v/>
      </c>
      <c r="K45" s="274">
        <f>IF('G2 MT Reading Scoresheet'!K45&lt;&gt;"",'G2 MT Reading Scoresheet'!K45,"")</f>
        <v/>
      </c>
      <c r="L45" s="275">
        <f>IF('G2 MT Reading Scoresheet'!L45&lt;&gt;"",'G2 MT Reading Scoresheet'!L45,"")</f>
        <v/>
      </c>
      <c r="M45" s="118">
        <f>IF('G2 MT Reading Scoresheet'!M45&lt;&gt;"",'G2 MT Reading Scoresheet'!M45,"")</f>
        <v/>
      </c>
      <c r="N45" s="273">
        <f>IF('G2 MT Reading Scoresheet'!N45&lt;&gt;"",'G2 MT Reading Scoresheet'!N45,"")</f>
        <v/>
      </c>
      <c r="O45" s="273">
        <f>IF('G2 MT Reading Scoresheet'!O45&lt;&gt;"",'G2 MT Reading Scoresheet'!O45,"")</f>
        <v/>
      </c>
      <c r="P45" s="118">
        <f>IF('G2 MT Reading Scoresheet'!P45&lt;&gt;"",'G2 MT Reading Scoresheet'!P45,"")</f>
        <v/>
      </c>
      <c r="Q45" s="122">
        <f>IF('G2 MT Reading Scoresheet'!Q45&lt;&gt;"",'G2 MT Reading Scoresheet'!Q45,"")</f>
        <v/>
      </c>
      <c r="R45" s="273">
        <f>IF('G2 MT Reading Scoresheet'!R45&lt;&gt;"",'G2 MT Reading Scoresheet'!R45,"")</f>
        <v/>
      </c>
      <c r="S45" s="273">
        <f>IF('G2 MT Reading Scoresheet'!S45&lt;&gt;"",'G2 MT Reading Scoresheet'!S45,"")</f>
        <v/>
      </c>
      <c r="T45" s="276">
        <f>IF('G2 MT Reading Scoresheet'!T45&lt;&gt;"",'G2 MT Reading Scoresheet'!T45,"")</f>
        <v/>
      </c>
      <c r="U45" s="87">
        <f>IF('G2 MT Reading Scoresheet'!U45&lt;&gt;"",'G2 MT Reading Scoresheet'!U45,"")</f>
        <v/>
      </c>
      <c r="V45" s="277" t="n"/>
      <c r="Y45" s="221">
        <f>IF(C45&lt;&gt;"",R45/6,"")</f>
        <v/>
      </c>
    </row>
    <row r="46" ht="14.4" customHeight="1" s="346">
      <c r="A46" s="4" t="n">
        <v>36</v>
      </c>
      <c r="B46" s="118">
        <f>IF('G2 MT Reading Scoresheet'!B46&lt;&gt;"",'G2 MT Reading Scoresheet'!B46,"")</f>
        <v/>
      </c>
      <c r="C46" s="133">
        <f>IF('G2 MT Reading Scoresheet'!C46&lt;&gt;"",'G2 MT Reading Scoresheet'!C46,"")</f>
        <v/>
      </c>
      <c r="D46" s="134">
        <f>IF('G2 MT Reading Scoresheet'!D46&lt;&gt;"",'G2 MT Reading Scoresheet'!D46,"")</f>
        <v/>
      </c>
      <c r="E46" s="135">
        <f>IF('G2 MT Reading Scoresheet'!E46&lt;&gt;"",'G2 MT Reading Scoresheet'!E46,"")</f>
        <v/>
      </c>
      <c r="F46" s="268">
        <f>IF('G2 MT Reading Scoresheet'!F46&lt;&gt;"",'G2 MT Reading Scoresheet'!F46,"")</f>
        <v/>
      </c>
      <c r="G46" s="269">
        <f>IF('G2 MT Reading Scoresheet'!G46&lt;&gt;"",'G2 MT Reading Scoresheet'!G46,"")</f>
        <v/>
      </c>
      <c r="H46" s="81">
        <f>IF('G2 MT Reading Scoresheet'!H46&lt;&gt;"",'G2 MT Reading Scoresheet'!H46,"")</f>
        <v/>
      </c>
      <c r="I46" s="81">
        <f>IF('G2 MT Reading Scoresheet'!I46&lt;&gt;"",'G2 MT Reading Scoresheet'!I46,"")</f>
        <v/>
      </c>
      <c r="J46" s="82">
        <f>IF('G2 MT Reading Scoresheet'!J46&lt;&gt;"",'G2 MT Reading Scoresheet'!J46,"")</f>
        <v/>
      </c>
      <c r="K46" s="270">
        <f>IF('G2 MT Reading Scoresheet'!K46&lt;&gt;"",'G2 MT Reading Scoresheet'!K46,"")</f>
        <v/>
      </c>
      <c r="L46" s="87">
        <f>IF('G2 MT Reading Scoresheet'!L46&lt;&gt;"",'G2 MT Reading Scoresheet'!L46,"")</f>
        <v/>
      </c>
      <c r="M46" s="118">
        <f>IF('G2 MT Reading Scoresheet'!M46&lt;&gt;"",'G2 MT Reading Scoresheet'!M46,"")</f>
        <v/>
      </c>
      <c r="N46" s="81">
        <f>IF('G2 MT Reading Scoresheet'!N46&lt;&gt;"",'G2 MT Reading Scoresheet'!N46,"")</f>
        <v/>
      </c>
      <c r="O46" s="81">
        <f>IF('G2 MT Reading Scoresheet'!O46&lt;&gt;"",'G2 MT Reading Scoresheet'!O46,"")</f>
        <v/>
      </c>
      <c r="P46" s="118">
        <f>IF('G2 MT Reading Scoresheet'!P46&lt;&gt;"",'G2 MT Reading Scoresheet'!P46,"")</f>
        <v/>
      </c>
      <c r="Q46" s="122">
        <f>IF('G2 MT Reading Scoresheet'!Q46&lt;&gt;"",'G2 MT Reading Scoresheet'!Q46,"")</f>
        <v/>
      </c>
      <c r="R46" s="81">
        <f>IF('G2 MT Reading Scoresheet'!R46&lt;&gt;"",'G2 MT Reading Scoresheet'!R46,"")</f>
        <v/>
      </c>
      <c r="S46" s="81">
        <f>IF('G2 MT Reading Scoresheet'!S46&lt;&gt;"",'G2 MT Reading Scoresheet'!S46,"")</f>
        <v/>
      </c>
      <c r="T46" s="82">
        <f>IF('G2 MT Reading Scoresheet'!T46&lt;&gt;"",'G2 MT Reading Scoresheet'!T46,"")</f>
        <v/>
      </c>
      <c r="U46" s="87">
        <f>IF('G2 MT Reading Scoresheet'!U46&lt;&gt;"",'G2 MT Reading Scoresheet'!U46,"")</f>
        <v/>
      </c>
      <c r="V46" s="271" t="n"/>
      <c r="Y46" s="221">
        <f>IF(C46&lt;&gt;"",R46/6,"")</f>
        <v/>
      </c>
    </row>
    <row r="47" ht="14.4" customHeight="1" s="346">
      <c r="A47" s="5" t="n">
        <v>37</v>
      </c>
      <c r="B47" s="118">
        <f>IF('G2 MT Reading Scoresheet'!B47&lt;&gt;"",'G2 MT Reading Scoresheet'!B47,"")</f>
        <v/>
      </c>
      <c r="C47" s="133">
        <f>IF('G2 MT Reading Scoresheet'!C47&lt;&gt;"",'G2 MT Reading Scoresheet'!C47,"")</f>
        <v/>
      </c>
      <c r="D47" s="134">
        <f>IF('G2 MT Reading Scoresheet'!D47&lt;&gt;"",'G2 MT Reading Scoresheet'!D47,"")</f>
        <v/>
      </c>
      <c r="E47" s="135">
        <f>IF('G2 MT Reading Scoresheet'!E47&lt;&gt;"",'G2 MT Reading Scoresheet'!E47,"")</f>
        <v/>
      </c>
      <c r="F47" s="272">
        <f>IF('G2 MT Reading Scoresheet'!F47&lt;&gt;"",'G2 MT Reading Scoresheet'!F47,"")</f>
        <v/>
      </c>
      <c r="G47" s="262">
        <f>IF('G2 MT Reading Scoresheet'!G47&lt;&gt;"",'G2 MT Reading Scoresheet'!G47,"")</f>
        <v/>
      </c>
      <c r="H47" s="273">
        <f>IF('G2 MT Reading Scoresheet'!H47&lt;&gt;"",'G2 MT Reading Scoresheet'!H47,"")</f>
        <v/>
      </c>
      <c r="I47" s="81">
        <f>IF('G2 MT Reading Scoresheet'!I47&lt;&gt;"",'G2 MT Reading Scoresheet'!I47,"")</f>
        <v/>
      </c>
      <c r="J47" s="82">
        <f>IF('G2 MT Reading Scoresheet'!J47&lt;&gt;"",'G2 MT Reading Scoresheet'!J47,"")</f>
        <v/>
      </c>
      <c r="K47" s="274">
        <f>IF('G2 MT Reading Scoresheet'!K47&lt;&gt;"",'G2 MT Reading Scoresheet'!K47,"")</f>
        <v/>
      </c>
      <c r="L47" s="275">
        <f>IF('G2 MT Reading Scoresheet'!L47&lt;&gt;"",'G2 MT Reading Scoresheet'!L47,"")</f>
        <v/>
      </c>
      <c r="M47" s="118">
        <f>IF('G2 MT Reading Scoresheet'!M47&lt;&gt;"",'G2 MT Reading Scoresheet'!M47,"")</f>
        <v/>
      </c>
      <c r="N47" s="273">
        <f>IF('G2 MT Reading Scoresheet'!N47&lt;&gt;"",'G2 MT Reading Scoresheet'!N47,"")</f>
        <v/>
      </c>
      <c r="O47" s="273">
        <f>IF('G2 MT Reading Scoresheet'!O47&lt;&gt;"",'G2 MT Reading Scoresheet'!O47,"")</f>
        <v/>
      </c>
      <c r="P47" s="118">
        <f>IF('G2 MT Reading Scoresheet'!P47&lt;&gt;"",'G2 MT Reading Scoresheet'!P47,"")</f>
        <v/>
      </c>
      <c r="Q47" s="122">
        <f>IF('G2 MT Reading Scoresheet'!Q47&lt;&gt;"",'G2 MT Reading Scoresheet'!Q47,"")</f>
        <v/>
      </c>
      <c r="R47" s="273">
        <f>IF('G2 MT Reading Scoresheet'!R47&lt;&gt;"",'G2 MT Reading Scoresheet'!R47,"")</f>
        <v/>
      </c>
      <c r="S47" s="273">
        <f>IF('G2 MT Reading Scoresheet'!S47&lt;&gt;"",'G2 MT Reading Scoresheet'!S47,"")</f>
        <v/>
      </c>
      <c r="T47" s="276">
        <f>IF('G2 MT Reading Scoresheet'!T47&lt;&gt;"",'G2 MT Reading Scoresheet'!T47,"")</f>
        <v/>
      </c>
      <c r="U47" s="87">
        <f>IF('G2 MT Reading Scoresheet'!U47&lt;&gt;"",'G2 MT Reading Scoresheet'!U47,"")</f>
        <v/>
      </c>
      <c r="V47" s="277" t="n"/>
      <c r="Y47" s="221">
        <f>IF(C47&lt;&gt;"",R47/6,"")</f>
        <v/>
      </c>
    </row>
    <row r="48" ht="14.4" customHeight="1" s="346">
      <c r="A48" s="4" t="n">
        <v>38</v>
      </c>
      <c r="B48" s="118">
        <f>IF('G2 MT Reading Scoresheet'!B48&lt;&gt;"",'G2 MT Reading Scoresheet'!B48,"")</f>
        <v/>
      </c>
      <c r="C48" s="133">
        <f>IF('G2 MT Reading Scoresheet'!C48&lt;&gt;"",'G2 MT Reading Scoresheet'!C48,"")</f>
        <v/>
      </c>
      <c r="D48" s="134">
        <f>IF('G2 MT Reading Scoresheet'!D48&lt;&gt;"",'G2 MT Reading Scoresheet'!D48,"")</f>
        <v/>
      </c>
      <c r="E48" s="135">
        <f>IF('G2 MT Reading Scoresheet'!E48&lt;&gt;"",'G2 MT Reading Scoresheet'!E48,"")</f>
        <v/>
      </c>
      <c r="F48" s="268">
        <f>IF('G2 MT Reading Scoresheet'!F48&lt;&gt;"",'G2 MT Reading Scoresheet'!F48,"")</f>
        <v/>
      </c>
      <c r="G48" s="269">
        <f>IF('G2 MT Reading Scoresheet'!G48&lt;&gt;"",'G2 MT Reading Scoresheet'!G48,"")</f>
        <v/>
      </c>
      <c r="H48" s="81">
        <f>IF('G2 MT Reading Scoresheet'!H48&lt;&gt;"",'G2 MT Reading Scoresheet'!H48,"")</f>
        <v/>
      </c>
      <c r="I48" s="81">
        <f>IF('G2 MT Reading Scoresheet'!I48&lt;&gt;"",'G2 MT Reading Scoresheet'!I48,"")</f>
        <v/>
      </c>
      <c r="J48" s="82">
        <f>IF('G2 MT Reading Scoresheet'!J48&lt;&gt;"",'G2 MT Reading Scoresheet'!J48,"")</f>
        <v/>
      </c>
      <c r="K48" s="270">
        <f>IF('G2 MT Reading Scoresheet'!K48&lt;&gt;"",'G2 MT Reading Scoresheet'!K48,"")</f>
        <v/>
      </c>
      <c r="L48" s="87">
        <f>IF('G2 MT Reading Scoresheet'!L48&lt;&gt;"",'G2 MT Reading Scoresheet'!L48,"")</f>
        <v/>
      </c>
      <c r="M48" s="118">
        <f>IF('G2 MT Reading Scoresheet'!M48&lt;&gt;"",'G2 MT Reading Scoresheet'!M48,"")</f>
        <v/>
      </c>
      <c r="N48" s="81">
        <f>IF('G2 MT Reading Scoresheet'!N48&lt;&gt;"",'G2 MT Reading Scoresheet'!N48,"")</f>
        <v/>
      </c>
      <c r="O48" s="81">
        <f>IF('G2 MT Reading Scoresheet'!O48&lt;&gt;"",'G2 MT Reading Scoresheet'!O48,"")</f>
        <v/>
      </c>
      <c r="P48" s="118">
        <f>IF('G2 MT Reading Scoresheet'!P48&lt;&gt;"",'G2 MT Reading Scoresheet'!P48,"")</f>
        <v/>
      </c>
      <c r="Q48" s="122">
        <f>IF('G2 MT Reading Scoresheet'!Q48&lt;&gt;"",'G2 MT Reading Scoresheet'!Q48,"")</f>
        <v/>
      </c>
      <c r="R48" s="81">
        <f>IF('G2 MT Reading Scoresheet'!R48&lt;&gt;"",'G2 MT Reading Scoresheet'!R48,"")</f>
        <v/>
      </c>
      <c r="S48" s="81">
        <f>IF('G2 MT Reading Scoresheet'!S48&lt;&gt;"",'G2 MT Reading Scoresheet'!S48,"")</f>
        <v/>
      </c>
      <c r="T48" s="82">
        <f>IF('G2 MT Reading Scoresheet'!T48&lt;&gt;"",'G2 MT Reading Scoresheet'!T48,"")</f>
        <v/>
      </c>
      <c r="U48" s="87">
        <f>IF('G2 MT Reading Scoresheet'!U48&lt;&gt;"",'G2 MT Reading Scoresheet'!U48,"")</f>
        <v/>
      </c>
      <c r="V48" s="271" t="n"/>
      <c r="Y48" s="221">
        <f>IF(C48&lt;&gt;"",R48/6,"")</f>
        <v/>
      </c>
    </row>
    <row r="49" ht="14.4" customHeight="1" s="346">
      <c r="A49" s="5" t="n">
        <v>39</v>
      </c>
      <c r="B49" s="118">
        <f>IF('G2 MT Reading Scoresheet'!B49&lt;&gt;"",'G2 MT Reading Scoresheet'!B49,"")</f>
        <v/>
      </c>
      <c r="C49" s="133">
        <f>IF('G2 MT Reading Scoresheet'!C49&lt;&gt;"",'G2 MT Reading Scoresheet'!C49,"")</f>
        <v/>
      </c>
      <c r="D49" s="134">
        <f>IF('G2 MT Reading Scoresheet'!D49&lt;&gt;"",'G2 MT Reading Scoresheet'!D49,"")</f>
        <v/>
      </c>
      <c r="E49" s="135">
        <f>IF('G2 MT Reading Scoresheet'!E49&lt;&gt;"",'G2 MT Reading Scoresheet'!E49,"")</f>
        <v/>
      </c>
      <c r="F49" s="272">
        <f>IF('G2 MT Reading Scoresheet'!F49&lt;&gt;"",'G2 MT Reading Scoresheet'!F49,"")</f>
        <v/>
      </c>
      <c r="G49" s="262">
        <f>IF('G2 MT Reading Scoresheet'!G49&lt;&gt;"",'G2 MT Reading Scoresheet'!G49,"")</f>
        <v/>
      </c>
      <c r="H49" s="273">
        <f>IF('G2 MT Reading Scoresheet'!H49&lt;&gt;"",'G2 MT Reading Scoresheet'!H49,"")</f>
        <v/>
      </c>
      <c r="I49" s="81">
        <f>IF('G2 MT Reading Scoresheet'!I49&lt;&gt;"",'G2 MT Reading Scoresheet'!I49,"")</f>
        <v/>
      </c>
      <c r="J49" s="82">
        <f>IF('G2 MT Reading Scoresheet'!J49&lt;&gt;"",'G2 MT Reading Scoresheet'!J49,"")</f>
        <v/>
      </c>
      <c r="K49" s="274">
        <f>IF('G2 MT Reading Scoresheet'!K49&lt;&gt;"",'G2 MT Reading Scoresheet'!K49,"")</f>
        <v/>
      </c>
      <c r="L49" s="275">
        <f>IF('G2 MT Reading Scoresheet'!L49&lt;&gt;"",'G2 MT Reading Scoresheet'!L49,"")</f>
        <v/>
      </c>
      <c r="M49" s="118">
        <f>IF('G2 MT Reading Scoresheet'!M49&lt;&gt;"",'G2 MT Reading Scoresheet'!M49,"")</f>
        <v/>
      </c>
      <c r="N49" s="273">
        <f>IF('G2 MT Reading Scoresheet'!N49&lt;&gt;"",'G2 MT Reading Scoresheet'!N49,"")</f>
        <v/>
      </c>
      <c r="O49" s="273">
        <f>IF('G2 MT Reading Scoresheet'!O49&lt;&gt;"",'G2 MT Reading Scoresheet'!O49,"")</f>
        <v/>
      </c>
      <c r="P49" s="118">
        <f>IF('G2 MT Reading Scoresheet'!P49&lt;&gt;"",'G2 MT Reading Scoresheet'!P49,"")</f>
        <v/>
      </c>
      <c r="Q49" s="122">
        <f>IF('G2 MT Reading Scoresheet'!Q49&lt;&gt;"",'G2 MT Reading Scoresheet'!Q49,"")</f>
        <v/>
      </c>
      <c r="R49" s="273">
        <f>IF('G2 MT Reading Scoresheet'!R49&lt;&gt;"",'G2 MT Reading Scoresheet'!R49,"")</f>
        <v/>
      </c>
      <c r="S49" s="273">
        <f>IF('G2 MT Reading Scoresheet'!S49&lt;&gt;"",'G2 MT Reading Scoresheet'!S49,"")</f>
        <v/>
      </c>
      <c r="T49" s="276">
        <f>IF('G2 MT Reading Scoresheet'!T49&lt;&gt;"",'G2 MT Reading Scoresheet'!T49,"")</f>
        <v/>
      </c>
      <c r="U49" s="87">
        <f>IF('G2 MT Reading Scoresheet'!U49&lt;&gt;"",'G2 MT Reading Scoresheet'!U49,"")</f>
        <v/>
      </c>
      <c r="V49" s="277" t="n"/>
      <c r="Y49" s="221">
        <f>IF(C49&lt;&gt;"",R49/6,"")</f>
        <v/>
      </c>
    </row>
    <row r="50" ht="14.4" customHeight="1" s="346">
      <c r="A50" s="4" t="n">
        <v>40</v>
      </c>
      <c r="B50" s="118">
        <f>IF('G2 MT Reading Scoresheet'!B50&lt;&gt;"",'G2 MT Reading Scoresheet'!B50,"")</f>
        <v/>
      </c>
      <c r="C50" s="133">
        <f>IF('G2 MT Reading Scoresheet'!C50&lt;&gt;"",'G2 MT Reading Scoresheet'!C50,"")</f>
        <v/>
      </c>
      <c r="D50" s="134">
        <f>IF('G2 MT Reading Scoresheet'!D50&lt;&gt;"",'G2 MT Reading Scoresheet'!D50,"")</f>
        <v/>
      </c>
      <c r="E50" s="135">
        <f>IF('G2 MT Reading Scoresheet'!E50&lt;&gt;"",'G2 MT Reading Scoresheet'!E50,"")</f>
        <v/>
      </c>
      <c r="F50" s="268">
        <f>IF('G2 MT Reading Scoresheet'!F50&lt;&gt;"",'G2 MT Reading Scoresheet'!F50,"")</f>
        <v/>
      </c>
      <c r="G50" s="269">
        <f>IF('G2 MT Reading Scoresheet'!G50&lt;&gt;"",'G2 MT Reading Scoresheet'!G50,"")</f>
        <v/>
      </c>
      <c r="H50" s="81">
        <f>IF('G2 MT Reading Scoresheet'!H50&lt;&gt;"",'G2 MT Reading Scoresheet'!H50,"")</f>
        <v/>
      </c>
      <c r="I50" s="81">
        <f>IF('G2 MT Reading Scoresheet'!I50&lt;&gt;"",'G2 MT Reading Scoresheet'!I50,"")</f>
        <v/>
      </c>
      <c r="J50" s="82">
        <f>IF('G2 MT Reading Scoresheet'!J50&lt;&gt;"",'G2 MT Reading Scoresheet'!J50,"")</f>
        <v/>
      </c>
      <c r="K50" s="270">
        <f>IF('G2 MT Reading Scoresheet'!K50&lt;&gt;"",'G2 MT Reading Scoresheet'!K50,"")</f>
        <v/>
      </c>
      <c r="L50" s="87">
        <f>IF('G2 MT Reading Scoresheet'!L50&lt;&gt;"",'G2 MT Reading Scoresheet'!L50,"")</f>
        <v/>
      </c>
      <c r="M50" s="118">
        <f>IF('G2 MT Reading Scoresheet'!M50&lt;&gt;"",'G2 MT Reading Scoresheet'!M50,"")</f>
        <v/>
      </c>
      <c r="N50" s="81">
        <f>IF('G2 MT Reading Scoresheet'!N50&lt;&gt;"",'G2 MT Reading Scoresheet'!N50,"")</f>
        <v/>
      </c>
      <c r="O50" s="81">
        <f>IF('G2 MT Reading Scoresheet'!O50&lt;&gt;"",'G2 MT Reading Scoresheet'!O50,"")</f>
        <v/>
      </c>
      <c r="P50" s="118">
        <f>IF('G2 MT Reading Scoresheet'!P50&lt;&gt;"",'G2 MT Reading Scoresheet'!P50,"")</f>
        <v/>
      </c>
      <c r="Q50" s="122">
        <f>IF('G2 MT Reading Scoresheet'!Q50&lt;&gt;"",'G2 MT Reading Scoresheet'!Q50,"")</f>
        <v/>
      </c>
      <c r="R50" s="81">
        <f>IF('G2 MT Reading Scoresheet'!R50&lt;&gt;"",'G2 MT Reading Scoresheet'!R50,"")</f>
        <v/>
      </c>
      <c r="S50" s="81">
        <f>IF('G2 MT Reading Scoresheet'!S50&lt;&gt;"",'G2 MT Reading Scoresheet'!S50,"")</f>
        <v/>
      </c>
      <c r="T50" s="82">
        <f>IF('G2 MT Reading Scoresheet'!T50&lt;&gt;"",'G2 MT Reading Scoresheet'!T50,"")</f>
        <v/>
      </c>
      <c r="U50" s="87">
        <f>IF('G2 MT Reading Scoresheet'!U50&lt;&gt;"",'G2 MT Reading Scoresheet'!U50,"")</f>
        <v/>
      </c>
      <c r="V50" s="271" t="n"/>
      <c r="Y50" s="221">
        <f>IF(C50&lt;&gt;"",R50/6,"")</f>
        <v/>
      </c>
    </row>
    <row r="51" ht="14.4" customHeight="1" s="346">
      <c r="A51" s="5" t="n">
        <v>41</v>
      </c>
      <c r="B51" s="118">
        <f>IF('G2 MT Reading Scoresheet'!B51&lt;&gt;"",'G2 MT Reading Scoresheet'!B51,"")</f>
        <v/>
      </c>
      <c r="C51" s="133">
        <f>IF('G2 MT Reading Scoresheet'!C51&lt;&gt;"",'G2 MT Reading Scoresheet'!C51,"")</f>
        <v/>
      </c>
      <c r="D51" s="134">
        <f>IF('G2 MT Reading Scoresheet'!D51&lt;&gt;"",'G2 MT Reading Scoresheet'!D51,"")</f>
        <v/>
      </c>
      <c r="E51" s="135">
        <f>IF('G2 MT Reading Scoresheet'!E51&lt;&gt;"",'G2 MT Reading Scoresheet'!E51,"")</f>
        <v/>
      </c>
      <c r="F51" s="272">
        <f>IF('G2 MT Reading Scoresheet'!F51&lt;&gt;"",'G2 MT Reading Scoresheet'!F51,"")</f>
        <v/>
      </c>
      <c r="G51" s="262">
        <f>IF('G2 MT Reading Scoresheet'!G51&lt;&gt;"",'G2 MT Reading Scoresheet'!G51,"")</f>
        <v/>
      </c>
      <c r="H51" s="273">
        <f>IF('G2 MT Reading Scoresheet'!H51&lt;&gt;"",'G2 MT Reading Scoresheet'!H51,"")</f>
        <v/>
      </c>
      <c r="I51" s="81">
        <f>IF('G2 MT Reading Scoresheet'!I51&lt;&gt;"",'G2 MT Reading Scoresheet'!I51,"")</f>
        <v/>
      </c>
      <c r="J51" s="82">
        <f>IF('G2 MT Reading Scoresheet'!J51&lt;&gt;"",'G2 MT Reading Scoresheet'!J51,"")</f>
        <v/>
      </c>
      <c r="K51" s="274">
        <f>IF('G2 MT Reading Scoresheet'!K51&lt;&gt;"",'G2 MT Reading Scoresheet'!K51,"")</f>
        <v/>
      </c>
      <c r="L51" s="275">
        <f>IF('G2 MT Reading Scoresheet'!L51&lt;&gt;"",'G2 MT Reading Scoresheet'!L51,"")</f>
        <v/>
      </c>
      <c r="M51" s="118">
        <f>IF('G2 MT Reading Scoresheet'!M51&lt;&gt;"",'G2 MT Reading Scoresheet'!M51,"")</f>
        <v/>
      </c>
      <c r="N51" s="273">
        <f>IF('G2 MT Reading Scoresheet'!N51&lt;&gt;"",'G2 MT Reading Scoresheet'!N51,"")</f>
        <v/>
      </c>
      <c r="O51" s="273">
        <f>IF('G2 MT Reading Scoresheet'!O51&lt;&gt;"",'G2 MT Reading Scoresheet'!O51,"")</f>
        <v/>
      </c>
      <c r="P51" s="118">
        <f>IF('G2 MT Reading Scoresheet'!P51&lt;&gt;"",'G2 MT Reading Scoresheet'!P51,"")</f>
        <v/>
      </c>
      <c r="Q51" s="122">
        <f>IF('G2 MT Reading Scoresheet'!Q51&lt;&gt;"",'G2 MT Reading Scoresheet'!Q51,"")</f>
        <v/>
      </c>
      <c r="R51" s="273">
        <f>IF('G2 MT Reading Scoresheet'!R51&lt;&gt;"",'G2 MT Reading Scoresheet'!R51,"")</f>
        <v/>
      </c>
      <c r="S51" s="273">
        <f>IF('G2 MT Reading Scoresheet'!S51&lt;&gt;"",'G2 MT Reading Scoresheet'!S51,"")</f>
        <v/>
      </c>
      <c r="T51" s="276">
        <f>IF('G2 MT Reading Scoresheet'!T51&lt;&gt;"",'G2 MT Reading Scoresheet'!T51,"")</f>
        <v/>
      </c>
      <c r="U51" s="87">
        <f>IF('G2 MT Reading Scoresheet'!U51&lt;&gt;"",'G2 MT Reading Scoresheet'!U51,"")</f>
        <v/>
      </c>
      <c r="V51" s="277" t="n"/>
      <c r="Y51" s="221">
        <f>IF(C51&lt;&gt;"",R51/6,"")</f>
        <v/>
      </c>
    </row>
    <row r="52" ht="14.4" customHeight="1" s="346">
      <c r="A52" s="4" t="n">
        <v>42</v>
      </c>
      <c r="B52" s="118">
        <f>IF('G2 MT Reading Scoresheet'!B52&lt;&gt;"",'G2 MT Reading Scoresheet'!B52,"")</f>
        <v/>
      </c>
      <c r="C52" s="133">
        <f>IF('G2 MT Reading Scoresheet'!C52&lt;&gt;"",'G2 MT Reading Scoresheet'!C52,"")</f>
        <v/>
      </c>
      <c r="D52" s="134">
        <f>IF('G2 MT Reading Scoresheet'!D52&lt;&gt;"",'G2 MT Reading Scoresheet'!D52,"")</f>
        <v/>
      </c>
      <c r="E52" s="135">
        <f>IF('G2 MT Reading Scoresheet'!E52&lt;&gt;"",'G2 MT Reading Scoresheet'!E52,"")</f>
        <v/>
      </c>
      <c r="F52" s="268">
        <f>IF('G2 MT Reading Scoresheet'!F52&lt;&gt;"",'G2 MT Reading Scoresheet'!F52,"")</f>
        <v/>
      </c>
      <c r="G52" s="269">
        <f>IF('G2 MT Reading Scoresheet'!G52&lt;&gt;"",'G2 MT Reading Scoresheet'!G52,"")</f>
        <v/>
      </c>
      <c r="H52" s="81">
        <f>IF('G2 MT Reading Scoresheet'!H52&lt;&gt;"",'G2 MT Reading Scoresheet'!H52,"")</f>
        <v/>
      </c>
      <c r="I52" s="81">
        <f>IF('G2 MT Reading Scoresheet'!I52&lt;&gt;"",'G2 MT Reading Scoresheet'!I52,"")</f>
        <v/>
      </c>
      <c r="J52" s="82">
        <f>IF('G2 MT Reading Scoresheet'!J52&lt;&gt;"",'G2 MT Reading Scoresheet'!J52,"")</f>
        <v/>
      </c>
      <c r="K52" s="270">
        <f>IF('G2 MT Reading Scoresheet'!K52&lt;&gt;"",'G2 MT Reading Scoresheet'!K52,"")</f>
        <v/>
      </c>
      <c r="L52" s="87">
        <f>IF('G2 MT Reading Scoresheet'!L52&lt;&gt;"",'G2 MT Reading Scoresheet'!L52,"")</f>
        <v/>
      </c>
      <c r="M52" s="118">
        <f>IF('G2 MT Reading Scoresheet'!M52&lt;&gt;"",'G2 MT Reading Scoresheet'!M52,"")</f>
        <v/>
      </c>
      <c r="N52" s="81">
        <f>IF('G2 MT Reading Scoresheet'!N52&lt;&gt;"",'G2 MT Reading Scoresheet'!N52,"")</f>
        <v/>
      </c>
      <c r="O52" s="81">
        <f>IF('G2 MT Reading Scoresheet'!O52&lt;&gt;"",'G2 MT Reading Scoresheet'!O52,"")</f>
        <v/>
      </c>
      <c r="P52" s="118">
        <f>IF('G2 MT Reading Scoresheet'!P52&lt;&gt;"",'G2 MT Reading Scoresheet'!P52,"")</f>
        <v/>
      </c>
      <c r="Q52" s="122">
        <f>IF('G2 MT Reading Scoresheet'!Q52&lt;&gt;"",'G2 MT Reading Scoresheet'!Q52,"")</f>
        <v/>
      </c>
      <c r="R52" s="81">
        <f>IF('G2 MT Reading Scoresheet'!R52&lt;&gt;"",'G2 MT Reading Scoresheet'!R52,"")</f>
        <v/>
      </c>
      <c r="S52" s="81">
        <f>IF('G2 MT Reading Scoresheet'!S52&lt;&gt;"",'G2 MT Reading Scoresheet'!S52,"")</f>
        <v/>
      </c>
      <c r="T52" s="82">
        <f>IF('G2 MT Reading Scoresheet'!T52&lt;&gt;"",'G2 MT Reading Scoresheet'!T52,"")</f>
        <v/>
      </c>
      <c r="U52" s="87">
        <f>IF('G2 MT Reading Scoresheet'!U52&lt;&gt;"",'G2 MT Reading Scoresheet'!U52,"")</f>
        <v/>
      </c>
      <c r="V52" s="271" t="n"/>
      <c r="Y52" s="221">
        <f>IF(C52&lt;&gt;"",R52/6,"")</f>
        <v/>
      </c>
    </row>
    <row r="53" ht="14.4" customHeight="1" s="346">
      <c r="A53" s="5" t="n">
        <v>43</v>
      </c>
      <c r="B53" s="118">
        <f>IF('G2 MT Reading Scoresheet'!B53&lt;&gt;"",'G2 MT Reading Scoresheet'!B53,"")</f>
        <v/>
      </c>
      <c r="C53" s="133">
        <f>IF('G2 MT Reading Scoresheet'!C53&lt;&gt;"",'G2 MT Reading Scoresheet'!C53,"")</f>
        <v/>
      </c>
      <c r="D53" s="134">
        <f>IF('G2 MT Reading Scoresheet'!D53&lt;&gt;"",'G2 MT Reading Scoresheet'!D53,"")</f>
        <v/>
      </c>
      <c r="E53" s="135">
        <f>IF('G2 MT Reading Scoresheet'!E53&lt;&gt;"",'G2 MT Reading Scoresheet'!E53,"")</f>
        <v/>
      </c>
      <c r="F53" s="272">
        <f>IF('G2 MT Reading Scoresheet'!F53&lt;&gt;"",'G2 MT Reading Scoresheet'!F53,"")</f>
        <v/>
      </c>
      <c r="G53" s="262">
        <f>IF('G2 MT Reading Scoresheet'!G53&lt;&gt;"",'G2 MT Reading Scoresheet'!G53,"")</f>
        <v/>
      </c>
      <c r="H53" s="273">
        <f>IF('G2 MT Reading Scoresheet'!H53&lt;&gt;"",'G2 MT Reading Scoresheet'!H53,"")</f>
        <v/>
      </c>
      <c r="I53" s="81">
        <f>IF('G2 MT Reading Scoresheet'!I53&lt;&gt;"",'G2 MT Reading Scoresheet'!I53,"")</f>
        <v/>
      </c>
      <c r="J53" s="82">
        <f>IF('G2 MT Reading Scoresheet'!J53&lt;&gt;"",'G2 MT Reading Scoresheet'!J53,"")</f>
        <v/>
      </c>
      <c r="K53" s="274">
        <f>IF('G2 MT Reading Scoresheet'!K53&lt;&gt;"",'G2 MT Reading Scoresheet'!K53,"")</f>
        <v/>
      </c>
      <c r="L53" s="275">
        <f>IF('G2 MT Reading Scoresheet'!L53&lt;&gt;"",'G2 MT Reading Scoresheet'!L53,"")</f>
        <v/>
      </c>
      <c r="M53" s="118">
        <f>IF('G2 MT Reading Scoresheet'!M53&lt;&gt;"",'G2 MT Reading Scoresheet'!M53,"")</f>
        <v/>
      </c>
      <c r="N53" s="273">
        <f>IF('G2 MT Reading Scoresheet'!N53&lt;&gt;"",'G2 MT Reading Scoresheet'!N53,"")</f>
        <v/>
      </c>
      <c r="O53" s="273">
        <f>IF('G2 MT Reading Scoresheet'!O53&lt;&gt;"",'G2 MT Reading Scoresheet'!O53,"")</f>
        <v/>
      </c>
      <c r="P53" s="118">
        <f>IF('G2 MT Reading Scoresheet'!P53&lt;&gt;"",'G2 MT Reading Scoresheet'!P53,"")</f>
        <v/>
      </c>
      <c r="Q53" s="122">
        <f>IF('G2 MT Reading Scoresheet'!Q53&lt;&gt;"",'G2 MT Reading Scoresheet'!Q53,"")</f>
        <v/>
      </c>
      <c r="R53" s="273">
        <f>IF('G2 MT Reading Scoresheet'!R53&lt;&gt;"",'G2 MT Reading Scoresheet'!R53,"")</f>
        <v/>
      </c>
      <c r="S53" s="273">
        <f>IF('G2 MT Reading Scoresheet'!S53&lt;&gt;"",'G2 MT Reading Scoresheet'!S53,"")</f>
        <v/>
      </c>
      <c r="T53" s="276">
        <f>IF('G2 MT Reading Scoresheet'!T53&lt;&gt;"",'G2 MT Reading Scoresheet'!T53,"")</f>
        <v/>
      </c>
      <c r="U53" s="87">
        <f>IF('G2 MT Reading Scoresheet'!U53&lt;&gt;"",'G2 MT Reading Scoresheet'!U53,"")</f>
        <v/>
      </c>
      <c r="V53" s="277" t="n"/>
      <c r="Y53" s="221">
        <f>IF(C53&lt;&gt;"",R53/6,"")</f>
        <v/>
      </c>
    </row>
    <row r="54" ht="14.4" customHeight="1" s="346">
      <c r="A54" s="4" t="n">
        <v>44</v>
      </c>
      <c r="B54" s="118">
        <f>IF('G2 MT Reading Scoresheet'!B54&lt;&gt;"",'G2 MT Reading Scoresheet'!B54,"")</f>
        <v/>
      </c>
      <c r="C54" s="133">
        <f>IF('G2 MT Reading Scoresheet'!C54&lt;&gt;"",'G2 MT Reading Scoresheet'!C54,"")</f>
        <v/>
      </c>
      <c r="D54" s="134">
        <f>IF('G2 MT Reading Scoresheet'!D54&lt;&gt;"",'G2 MT Reading Scoresheet'!D54,"")</f>
        <v/>
      </c>
      <c r="E54" s="135">
        <f>IF('G2 MT Reading Scoresheet'!E54&lt;&gt;"",'G2 MT Reading Scoresheet'!E54,"")</f>
        <v/>
      </c>
      <c r="F54" s="268">
        <f>IF('G2 MT Reading Scoresheet'!F54&lt;&gt;"",'G2 MT Reading Scoresheet'!F54,"")</f>
        <v/>
      </c>
      <c r="G54" s="269">
        <f>IF('G2 MT Reading Scoresheet'!G54&lt;&gt;"",'G2 MT Reading Scoresheet'!G54,"")</f>
        <v/>
      </c>
      <c r="H54" s="81">
        <f>IF('G2 MT Reading Scoresheet'!H54&lt;&gt;"",'G2 MT Reading Scoresheet'!H54,"")</f>
        <v/>
      </c>
      <c r="I54" s="81">
        <f>IF('G2 MT Reading Scoresheet'!I54&lt;&gt;"",'G2 MT Reading Scoresheet'!I54,"")</f>
        <v/>
      </c>
      <c r="J54" s="82">
        <f>IF('G2 MT Reading Scoresheet'!J54&lt;&gt;"",'G2 MT Reading Scoresheet'!J54,"")</f>
        <v/>
      </c>
      <c r="K54" s="270">
        <f>IF('G2 MT Reading Scoresheet'!K54&lt;&gt;"",'G2 MT Reading Scoresheet'!K54,"")</f>
        <v/>
      </c>
      <c r="L54" s="87">
        <f>IF('G2 MT Reading Scoresheet'!L54&lt;&gt;"",'G2 MT Reading Scoresheet'!L54,"")</f>
        <v/>
      </c>
      <c r="M54" s="118">
        <f>IF('G2 MT Reading Scoresheet'!M54&lt;&gt;"",'G2 MT Reading Scoresheet'!M54,"")</f>
        <v/>
      </c>
      <c r="N54" s="81">
        <f>IF('G2 MT Reading Scoresheet'!N54&lt;&gt;"",'G2 MT Reading Scoresheet'!N54,"")</f>
        <v/>
      </c>
      <c r="O54" s="81">
        <f>IF('G2 MT Reading Scoresheet'!O54&lt;&gt;"",'G2 MT Reading Scoresheet'!O54,"")</f>
        <v/>
      </c>
      <c r="P54" s="118">
        <f>IF('G2 MT Reading Scoresheet'!P54&lt;&gt;"",'G2 MT Reading Scoresheet'!P54,"")</f>
        <v/>
      </c>
      <c r="Q54" s="122">
        <f>IF('G2 MT Reading Scoresheet'!Q54&lt;&gt;"",'G2 MT Reading Scoresheet'!Q54,"")</f>
        <v/>
      </c>
      <c r="R54" s="81">
        <f>IF('G2 MT Reading Scoresheet'!R54&lt;&gt;"",'G2 MT Reading Scoresheet'!R54,"")</f>
        <v/>
      </c>
      <c r="S54" s="81">
        <f>IF('G2 MT Reading Scoresheet'!S54&lt;&gt;"",'G2 MT Reading Scoresheet'!S54,"")</f>
        <v/>
      </c>
      <c r="T54" s="82">
        <f>IF('G2 MT Reading Scoresheet'!T54&lt;&gt;"",'G2 MT Reading Scoresheet'!T54,"")</f>
        <v/>
      </c>
      <c r="U54" s="87">
        <f>IF('G2 MT Reading Scoresheet'!U54&lt;&gt;"",'G2 MT Reading Scoresheet'!U54,"")</f>
        <v/>
      </c>
      <c r="V54" s="271" t="n"/>
      <c r="Y54" s="221">
        <f>IF(C54&lt;&gt;"",R54/6,"")</f>
        <v/>
      </c>
    </row>
    <row r="55" ht="14.4" customHeight="1" s="346">
      <c r="A55" s="5" t="n">
        <v>45</v>
      </c>
      <c r="B55" s="118">
        <f>IF('G2 MT Reading Scoresheet'!B55&lt;&gt;"",'G2 MT Reading Scoresheet'!B55,"")</f>
        <v/>
      </c>
      <c r="C55" s="133">
        <f>IF('G2 MT Reading Scoresheet'!C55&lt;&gt;"",'G2 MT Reading Scoresheet'!C55,"")</f>
        <v/>
      </c>
      <c r="D55" s="134">
        <f>IF('G2 MT Reading Scoresheet'!D55&lt;&gt;"",'G2 MT Reading Scoresheet'!D55,"")</f>
        <v/>
      </c>
      <c r="E55" s="135">
        <f>IF('G2 MT Reading Scoresheet'!E55&lt;&gt;"",'G2 MT Reading Scoresheet'!E55,"")</f>
        <v/>
      </c>
      <c r="F55" s="272">
        <f>IF('G2 MT Reading Scoresheet'!F55&lt;&gt;"",'G2 MT Reading Scoresheet'!F55,"")</f>
        <v/>
      </c>
      <c r="G55" s="262">
        <f>IF('G2 MT Reading Scoresheet'!G55&lt;&gt;"",'G2 MT Reading Scoresheet'!G55,"")</f>
        <v/>
      </c>
      <c r="H55" s="273">
        <f>IF('G2 MT Reading Scoresheet'!H55&lt;&gt;"",'G2 MT Reading Scoresheet'!H55,"")</f>
        <v/>
      </c>
      <c r="I55" s="81">
        <f>IF('G2 MT Reading Scoresheet'!I55&lt;&gt;"",'G2 MT Reading Scoresheet'!I55,"")</f>
        <v/>
      </c>
      <c r="J55" s="82">
        <f>IF('G2 MT Reading Scoresheet'!J55&lt;&gt;"",'G2 MT Reading Scoresheet'!J55,"")</f>
        <v/>
      </c>
      <c r="K55" s="274">
        <f>IF('G2 MT Reading Scoresheet'!K55&lt;&gt;"",'G2 MT Reading Scoresheet'!K55,"")</f>
        <v/>
      </c>
      <c r="L55" s="275">
        <f>IF('G2 MT Reading Scoresheet'!L55&lt;&gt;"",'G2 MT Reading Scoresheet'!L55,"")</f>
        <v/>
      </c>
      <c r="M55" s="118">
        <f>IF('G2 MT Reading Scoresheet'!M55&lt;&gt;"",'G2 MT Reading Scoresheet'!M55,"")</f>
        <v/>
      </c>
      <c r="N55" s="273">
        <f>IF('G2 MT Reading Scoresheet'!N55&lt;&gt;"",'G2 MT Reading Scoresheet'!N55,"")</f>
        <v/>
      </c>
      <c r="O55" s="273">
        <f>IF('G2 MT Reading Scoresheet'!O55&lt;&gt;"",'G2 MT Reading Scoresheet'!O55,"")</f>
        <v/>
      </c>
      <c r="P55" s="118">
        <f>IF('G2 MT Reading Scoresheet'!P55&lt;&gt;"",'G2 MT Reading Scoresheet'!P55,"")</f>
        <v/>
      </c>
      <c r="Q55" s="122">
        <f>IF('G2 MT Reading Scoresheet'!Q55&lt;&gt;"",'G2 MT Reading Scoresheet'!Q55,"")</f>
        <v/>
      </c>
      <c r="R55" s="273">
        <f>IF('G2 MT Reading Scoresheet'!R55&lt;&gt;"",'G2 MT Reading Scoresheet'!R55,"")</f>
        <v/>
      </c>
      <c r="S55" s="273">
        <f>IF('G2 MT Reading Scoresheet'!S55&lt;&gt;"",'G2 MT Reading Scoresheet'!S55,"")</f>
        <v/>
      </c>
      <c r="T55" s="276">
        <f>IF('G2 MT Reading Scoresheet'!T55&lt;&gt;"",'G2 MT Reading Scoresheet'!T55,"")</f>
        <v/>
      </c>
      <c r="U55" s="87">
        <f>IF('G2 MT Reading Scoresheet'!U55&lt;&gt;"",'G2 MT Reading Scoresheet'!U55,"")</f>
        <v/>
      </c>
      <c r="V55" s="277" t="n"/>
      <c r="Y55" s="221">
        <f>IF(C55&lt;&gt;"",R55/6,"")</f>
        <v/>
      </c>
    </row>
    <row r="56" ht="14.4" customHeight="1" s="346">
      <c r="A56" s="4" t="n">
        <v>46</v>
      </c>
      <c r="B56" s="118">
        <f>IF('G2 MT Reading Scoresheet'!B56&lt;&gt;"",'G2 MT Reading Scoresheet'!B56,"")</f>
        <v/>
      </c>
      <c r="C56" s="133">
        <f>IF('G2 MT Reading Scoresheet'!C56&lt;&gt;"",'G2 MT Reading Scoresheet'!C56,"")</f>
        <v/>
      </c>
      <c r="D56" s="134">
        <f>IF('G2 MT Reading Scoresheet'!D56&lt;&gt;"",'G2 MT Reading Scoresheet'!D56,"")</f>
        <v/>
      </c>
      <c r="E56" s="135">
        <f>IF('G2 MT Reading Scoresheet'!E56&lt;&gt;"",'G2 MT Reading Scoresheet'!E56,"")</f>
        <v/>
      </c>
      <c r="F56" s="268">
        <f>IF('G2 MT Reading Scoresheet'!F56&lt;&gt;"",'G2 MT Reading Scoresheet'!F56,"")</f>
        <v/>
      </c>
      <c r="G56" s="269">
        <f>IF('G2 MT Reading Scoresheet'!G56&lt;&gt;"",'G2 MT Reading Scoresheet'!G56,"")</f>
        <v/>
      </c>
      <c r="H56" s="81">
        <f>IF('G2 MT Reading Scoresheet'!H56&lt;&gt;"",'G2 MT Reading Scoresheet'!H56,"")</f>
        <v/>
      </c>
      <c r="I56" s="81">
        <f>IF('G2 MT Reading Scoresheet'!I56&lt;&gt;"",'G2 MT Reading Scoresheet'!I56,"")</f>
        <v/>
      </c>
      <c r="J56" s="82">
        <f>IF('G2 MT Reading Scoresheet'!J56&lt;&gt;"",'G2 MT Reading Scoresheet'!J56,"")</f>
        <v/>
      </c>
      <c r="K56" s="270">
        <f>IF('G2 MT Reading Scoresheet'!K56&lt;&gt;"",'G2 MT Reading Scoresheet'!K56,"")</f>
        <v/>
      </c>
      <c r="L56" s="87">
        <f>IF('G2 MT Reading Scoresheet'!L56&lt;&gt;"",'G2 MT Reading Scoresheet'!L56,"")</f>
        <v/>
      </c>
      <c r="M56" s="118">
        <f>IF('G2 MT Reading Scoresheet'!M56&lt;&gt;"",'G2 MT Reading Scoresheet'!M56,"")</f>
        <v/>
      </c>
      <c r="N56" s="81">
        <f>IF('G2 MT Reading Scoresheet'!N56&lt;&gt;"",'G2 MT Reading Scoresheet'!N56,"")</f>
        <v/>
      </c>
      <c r="O56" s="81">
        <f>IF('G2 MT Reading Scoresheet'!O56&lt;&gt;"",'G2 MT Reading Scoresheet'!O56,"")</f>
        <v/>
      </c>
      <c r="P56" s="118">
        <f>IF('G2 MT Reading Scoresheet'!P56&lt;&gt;"",'G2 MT Reading Scoresheet'!P56,"")</f>
        <v/>
      </c>
      <c r="Q56" s="122">
        <f>IF('G2 MT Reading Scoresheet'!Q56&lt;&gt;"",'G2 MT Reading Scoresheet'!Q56,"")</f>
        <v/>
      </c>
      <c r="R56" s="81">
        <f>IF('G2 MT Reading Scoresheet'!R56&lt;&gt;"",'G2 MT Reading Scoresheet'!R56,"")</f>
        <v/>
      </c>
      <c r="S56" s="81">
        <f>IF('G2 MT Reading Scoresheet'!S56&lt;&gt;"",'G2 MT Reading Scoresheet'!S56,"")</f>
        <v/>
      </c>
      <c r="T56" s="82">
        <f>IF('G2 MT Reading Scoresheet'!T56&lt;&gt;"",'G2 MT Reading Scoresheet'!T56,"")</f>
        <v/>
      </c>
      <c r="U56" s="87">
        <f>IF('G2 MT Reading Scoresheet'!U56&lt;&gt;"",'G2 MT Reading Scoresheet'!U56,"")</f>
        <v/>
      </c>
      <c r="V56" s="271" t="n"/>
      <c r="Y56" s="221">
        <f>IF(C56&lt;&gt;"",R56/6,"")</f>
        <v/>
      </c>
    </row>
    <row r="57" ht="14.4" customHeight="1" s="346">
      <c r="A57" s="5" t="n">
        <v>47</v>
      </c>
      <c r="B57" s="118">
        <f>IF('G2 MT Reading Scoresheet'!B57&lt;&gt;"",'G2 MT Reading Scoresheet'!B57,"")</f>
        <v/>
      </c>
      <c r="C57" s="133">
        <f>IF('G2 MT Reading Scoresheet'!C57&lt;&gt;"",'G2 MT Reading Scoresheet'!C57,"")</f>
        <v/>
      </c>
      <c r="D57" s="134">
        <f>IF('G2 MT Reading Scoresheet'!D57&lt;&gt;"",'G2 MT Reading Scoresheet'!D57,"")</f>
        <v/>
      </c>
      <c r="E57" s="135">
        <f>IF('G2 MT Reading Scoresheet'!E57&lt;&gt;"",'G2 MT Reading Scoresheet'!E57,"")</f>
        <v/>
      </c>
      <c r="F57" s="272">
        <f>IF('G2 MT Reading Scoresheet'!F57&lt;&gt;"",'G2 MT Reading Scoresheet'!F57,"")</f>
        <v/>
      </c>
      <c r="G57" s="262">
        <f>IF('G2 MT Reading Scoresheet'!G57&lt;&gt;"",'G2 MT Reading Scoresheet'!G57,"")</f>
        <v/>
      </c>
      <c r="H57" s="273">
        <f>IF('G2 MT Reading Scoresheet'!H57&lt;&gt;"",'G2 MT Reading Scoresheet'!H57,"")</f>
        <v/>
      </c>
      <c r="I57" s="81">
        <f>IF('G2 MT Reading Scoresheet'!I57&lt;&gt;"",'G2 MT Reading Scoresheet'!I57,"")</f>
        <v/>
      </c>
      <c r="J57" s="82">
        <f>IF('G2 MT Reading Scoresheet'!J57&lt;&gt;"",'G2 MT Reading Scoresheet'!J57,"")</f>
        <v/>
      </c>
      <c r="K57" s="274">
        <f>IF('G2 MT Reading Scoresheet'!K57&lt;&gt;"",'G2 MT Reading Scoresheet'!K57,"")</f>
        <v/>
      </c>
      <c r="L57" s="275">
        <f>IF('G2 MT Reading Scoresheet'!L57&lt;&gt;"",'G2 MT Reading Scoresheet'!L57,"")</f>
        <v/>
      </c>
      <c r="M57" s="118">
        <f>IF('G2 MT Reading Scoresheet'!M57&lt;&gt;"",'G2 MT Reading Scoresheet'!M57,"")</f>
        <v/>
      </c>
      <c r="N57" s="273">
        <f>IF('G2 MT Reading Scoresheet'!N57&lt;&gt;"",'G2 MT Reading Scoresheet'!N57,"")</f>
        <v/>
      </c>
      <c r="O57" s="273">
        <f>IF('G2 MT Reading Scoresheet'!O57&lt;&gt;"",'G2 MT Reading Scoresheet'!O57,"")</f>
        <v/>
      </c>
      <c r="P57" s="118">
        <f>IF('G2 MT Reading Scoresheet'!P57&lt;&gt;"",'G2 MT Reading Scoresheet'!P57,"")</f>
        <v/>
      </c>
      <c r="Q57" s="122">
        <f>IF('G2 MT Reading Scoresheet'!Q57&lt;&gt;"",'G2 MT Reading Scoresheet'!Q57,"")</f>
        <v/>
      </c>
      <c r="R57" s="273">
        <f>IF('G2 MT Reading Scoresheet'!R57&lt;&gt;"",'G2 MT Reading Scoresheet'!R57,"")</f>
        <v/>
      </c>
      <c r="S57" s="273">
        <f>IF('G2 MT Reading Scoresheet'!S57&lt;&gt;"",'G2 MT Reading Scoresheet'!S57,"")</f>
        <v/>
      </c>
      <c r="T57" s="276">
        <f>IF('G2 MT Reading Scoresheet'!T57&lt;&gt;"",'G2 MT Reading Scoresheet'!T57,"")</f>
        <v/>
      </c>
      <c r="U57" s="87">
        <f>IF('G2 MT Reading Scoresheet'!U57&lt;&gt;"",'G2 MT Reading Scoresheet'!U57,"")</f>
        <v/>
      </c>
      <c r="V57" s="277" t="n"/>
      <c r="Y57" s="221">
        <f>IF(C57&lt;&gt;"",R57/6,"")</f>
        <v/>
      </c>
    </row>
    <row r="58" ht="14.4" customHeight="1" s="346">
      <c r="A58" s="4" t="n">
        <v>48</v>
      </c>
      <c r="B58" s="118">
        <f>IF('G2 MT Reading Scoresheet'!B58&lt;&gt;"",'G2 MT Reading Scoresheet'!B58,"")</f>
        <v/>
      </c>
      <c r="C58" s="133">
        <f>IF('G2 MT Reading Scoresheet'!C58&lt;&gt;"",'G2 MT Reading Scoresheet'!C58,"")</f>
        <v/>
      </c>
      <c r="D58" s="134">
        <f>IF('G2 MT Reading Scoresheet'!D58&lt;&gt;"",'G2 MT Reading Scoresheet'!D58,"")</f>
        <v/>
      </c>
      <c r="E58" s="135">
        <f>IF('G2 MT Reading Scoresheet'!E58&lt;&gt;"",'G2 MT Reading Scoresheet'!E58,"")</f>
        <v/>
      </c>
      <c r="F58" s="268">
        <f>IF('G2 MT Reading Scoresheet'!F58&lt;&gt;"",'G2 MT Reading Scoresheet'!F58,"")</f>
        <v/>
      </c>
      <c r="G58" s="269">
        <f>IF('G2 MT Reading Scoresheet'!G58&lt;&gt;"",'G2 MT Reading Scoresheet'!G58,"")</f>
        <v/>
      </c>
      <c r="H58" s="81">
        <f>IF('G2 MT Reading Scoresheet'!H58&lt;&gt;"",'G2 MT Reading Scoresheet'!H58,"")</f>
        <v/>
      </c>
      <c r="I58" s="81">
        <f>IF('G2 MT Reading Scoresheet'!I58&lt;&gt;"",'G2 MT Reading Scoresheet'!I58,"")</f>
        <v/>
      </c>
      <c r="J58" s="82">
        <f>IF('G2 MT Reading Scoresheet'!J58&lt;&gt;"",'G2 MT Reading Scoresheet'!J58,"")</f>
        <v/>
      </c>
      <c r="K58" s="270">
        <f>IF('G2 MT Reading Scoresheet'!K58&lt;&gt;"",'G2 MT Reading Scoresheet'!K58,"")</f>
        <v/>
      </c>
      <c r="L58" s="87">
        <f>IF('G2 MT Reading Scoresheet'!L58&lt;&gt;"",'G2 MT Reading Scoresheet'!L58,"")</f>
        <v/>
      </c>
      <c r="M58" s="118">
        <f>IF('G2 MT Reading Scoresheet'!M58&lt;&gt;"",'G2 MT Reading Scoresheet'!M58,"")</f>
        <v/>
      </c>
      <c r="N58" s="81">
        <f>IF('G2 MT Reading Scoresheet'!N58&lt;&gt;"",'G2 MT Reading Scoresheet'!N58,"")</f>
        <v/>
      </c>
      <c r="O58" s="81">
        <f>IF('G2 MT Reading Scoresheet'!O58&lt;&gt;"",'G2 MT Reading Scoresheet'!O58,"")</f>
        <v/>
      </c>
      <c r="P58" s="118">
        <f>IF('G2 MT Reading Scoresheet'!P58&lt;&gt;"",'G2 MT Reading Scoresheet'!P58,"")</f>
        <v/>
      </c>
      <c r="Q58" s="122">
        <f>IF('G2 MT Reading Scoresheet'!Q58&lt;&gt;"",'G2 MT Reading Scoresheet'!Q58,"")</f>
        <v/>
      </c>
      <c r="R58" s="81">
        <f>IF('G2 MT Reading Scoresheet'!R58&lt;&gt;"",'G2 MT Reading Scoresheet'!R58,"")</f>
        <v/>
      </c>
      <c r="S58" s="81">
        <f>IF('G2 MT Reading Scoresheet'!S58&lt;&gt;"",'G2 MT Reading Scoresheet'!S58,"")</f>
        <v/>
      </c>
      <c r="T58" s="82">
        <f>IF('G2 MT Reading Scoresheet'!T58&lt;&gt;"",'G2 MT Reading Scoresheet'!T58,"")</f>
        <v/>
      </c>
      <c r="U58" s="87">
        <f>IF('G2 MT Reading Scoresheet'!U58&lt;&gt;"",'G2 MT Reading Scoresheet'!U58,"")</f>
        <v/>
      </c>
      <c r="V58" s="271" t="n"/>
      <c r="Y58" s="221">
        <f>IF(C58&lt;&gt;"",R58/6,"")</f>
        <v/>
      </c>
    </row>
    <row r="59" ht="14.4" customHeight="1" s="346">
      <c r="A59" s="5" t="n">
        <v>49</v>
      </c>
      <c r="B59" s="118">
        <f>IF('G2 MT Reading Scoresheet'!B59&lt;&gt;"",'G2 MT Reading Scoresheet'!B59,"")</f>
        <v/>
      </c>
      <c r="C59" s="133">
        <f>IF('G2 MT Reading Scoresheet'!C59&lt;&gt;"",'G2 MT Reading Scoresheet'!C59,"")</f>
        <v/>
      </c>
      <c r="D59" s="134">
        <f>IF('G2 MT Reading Scoresheet'!D59&lt;&gt;"",'G2 MT Reading Scoresheet'!D59,"")</f>
        <v/>
      </c>
      <c r="E59" s="135">
        <f>IF('G2 MT Reading Scoresheet'!E59&lt;&gt;"",'G2 MT Reading Scoresheet'!E59,"")</f>
        <v/>
      </c>
      <c r="F59" s="272">
        <f>IF('G2 MT Reading Scoresheet'!F59&lt;&gt;"",'G2 MT Reading Scoresheet'!F59,"")</f>
        <v/>
      </c>
      <c r="G59" s="262">
        <f>IF('G2 MT Reading Scoresheet'!G59&lt;&gt;"",'G2 MT Reading Scoresheet'!G59,"")</f>
        <v/>
      </c>
      <c r="H59" s="273">
        <f>IF('G2 MT Reading Scoresheet'!H59&lt;&gt;"",'G2 MT Reading Scoresheet'!H59,"")</f>
        <v/>
      </c>
      <c r="I59" s="81">
        <f>IF('G2 MT Reading Scoresheet'!I59&lt;&gt;"",'G2 MT Reading Scoresheet'!I59,"")</f>
        <v/>
      </c>
      <c r="J59" s="82">
        <f>IF('G2 MT Reading Scoresheet'!J59&lt;&gt;"",'G2 MT Reading Scoresheet'!J59,"")</f>
        <v/>
      </c>
      <c r="K59" s="274">
        <f>IF('G2 MT Reading Scoresheet'!K59&lt;&gt;"",'G2 MT Reading Scoresheet'!K59,"")</f>
        <v/>
      </c>
      <c r="L59" s="275">
        <f>IF('G2 MT Reading Scoresheet'!L59&lt;&gt;"",'G2 MT Reading Scoresheet'!L59,"")</f>
        <v/>
      </c>
      <c r="M59" s="118">
        <f>IF('G2 MT Reading Scoresheet'!M59&lt;&gt;"",'G2 MT Reading Scoresheet'!M59,"")</f>
        <v/>
      </c>
      <c r="N59" s="273">
        <f>IF('G2 MT Reading Scoresheet'!N59&lt;&gt;"",'G2 MT Reading Scoresheet'!N59,"")</f>
        <v/>
      </c>
      <c r="O59" s="273">
        <f>IF('G2 MT Reading Scoresheet'!O59&lt;&gt;"",'G2 MT Reading Scoresheet'!O59,"")</f>
        <v/>
      </c>
      <c r="P59" s="118">
        <f>IF('G2 MT Reading Scoresheet'!P59&lt;&gt;"",'G2 MT Reading Scoresheet'!P59,"")</f>
        <v/>
      </c>
      <c r="Q59" s="122">
        <f>IF('G2 MT Reading Scoresheet'!Q59&lt;&gt;"",'G2 MT Reading Scoresheet'!Q59,"")</f>
        <v/>
      </c>
      <c r="R59" s="273">
        <f>IF('G2 MT Reading Scoresheet'!R59&lt;&gt;"",'G2 MT Reading Scoresheet'!R59,"")</f>
        <v/>
      </c>
      <c r="S59" s="273">
        <f>IF('G2 MT Reading Scoresheet'!S59&lt;&gt;"",'G2 MT Reading Scoresheet'!S59,"")</f>
        <v/>
      </c>
      <c r="T59" s="276">
        <f>IF('G2 MT Reading Scoresheet'!T59&lt;&gt;"",'G2 MT Reading Scoresheet'!T59,"")</f>
        <v/>
      </c>
      <c r="U59" s="87">
        <f>IF('G2 MT Reading Scoresheet'!U59&lt;&gt;"",'G2 MT Reading Scoresheet'!U59,"")</f>
        <v/>
      </c>
      <c r="V59" s="277" t="n"/>
      <c r="Y59" s="221">
        <f>IF(C59&lt;&gt;"",R59/6,"")</f>
        <v/>
      </c>
    </row>
    <row r="60" ht="14.4" customHeight="1" s="346">
      <c r="A60" s="4" t="n">
        <v>50</v>
      </c>
      <c r="B60" s="118">
        <f>IF('G2 MT Reading Scoresheet'!B60&lt;&gt;"",'G2 MT Reading Scoresheet'!B60,"")</f>
        <v/>
      </c>
      <c r="C60" s="133">
        <f>IF('G2 MT Reading Scoresheet'!C60&lt;&gt;"",'G2 MT Reading Scoresheet'!C60,"")</f>
        <v/>
      </c>
      <c r="D60" s="134">
        <f>IF('G2 MT Reading Scoresheet'!D60&lt;&gt;"",'G2 MT Reading Scoresheet'!D60,"")</f>
        <v/>
      </c>
      <c r="E60" s="135">
        <f>IF('G2 MT Reading Scoresheet'!E60&lt;&gt;"",'G2 MT Reading Scoresheet'!E60,"")</f>
        <v/>
      </c>
      <c r="F60" s="268">
        <f>IF('G2 MT Reading Scoresheet'!F60&lt;&gt;"",'G2 MT Reading Scoresheet'!F60,"")</f>
        <v/>
      </c>
      <c r="G60" s="269">
        <f>IF('G2 MT Reading Scoresheet'!G60&lt;&gt;"",'G2 MT Reading Scoresheet'!G60,"")</f>
        <v/>
      </c>
      <c r="H60" s="81">
        <f>IF('G2 MT Reading Scoresheet'!H60&lt;&gt;"",'G2 MT Reading Scoresheet'!H60,"")</f>
        <v/>
      </c>
      <c r="I60" s="81">
        <f>IF('G2 MT Reading Scoresheet'!I60&lt;&gt;"",'G2 MT Reading Scoresheet'!I60,"")</f>
        <v/>
      </c>
      <c r="J60" s="82">
        <f>IF('G2 MT Reading Scoresheet'!J60&lt;&gt;"",'G2 MT Reading Scoresheet'!J60,"")</f>
        <v/>
      </c>
      <c r="K60" s="270">
        <f>IF('G2 MT Reading Scoresheet'!K60&lt;&gt;"",'G2 MT Reading Scoresheet'!K60,"")</f>
        <v/>
      </c>
      <c r="L60" s="87">
        <f>IF('G2 MT Reading Scoresheet'!L60&lt;&gt;"",'G2 MT Reading Scoresheet'!L60,"")</f>
        <v/>
      </c>
      <c r="M60" s="118">
        <f>IF('G2 MT Reading Scoresheet'!M60&lt;&gt;"",'G2 MT Reading Scoresheet'!M60,"")</f>
        <v/>
      </c>
      <c r="N60" s="81">
        <f>IF('G2 MT Reading Scoresheet'!N60&lt;&gt;"",'G2 MT Reading Scoresheet'!N60,"")</f>
        <v/>
      </c>
      <c r="O60" s="81">
        <f>IF('G2 MT Reading Scoresheet'!O60&lt;&gt;"",'G2 MT Reading Scoresheet'!O60,"")</f>
        <v/>
      </c>
      <c r="P60" s="118">
        <f>IF('G2 MT Reading Scoresheet'!P60&lt;&gt;"",'G2 MT Reading Scoresheet'!P60,"")</f>
        <v/>
      </c>
      <c r="Q60" s="122">
        <f>IF('G2 MT Reading Scoresheet'!Q60&lt;&gt;"",'G2 MT Reading Scoresheet'!Q60,"")</f>
        <v/>
      </c>
      <c r="R60" s="81">
        <f>IF('G2 MT Reading Scoresheet'!R60&lt;&gt;"",'G2 MT Reading Scoresheet'!R60,"")</f>
        <v/>
      </c>
      <c r="S60" s="81">
        <f>IF('G2 MT Reading Scoresheet'!S60&lt;&gt;"",'G2 MT Reading Scoresheet'!S60,"")</f>
        <v/>
      </c>
      <c r="T60" s="82">
        <f>IF('G2 MT Reading Scoresheet'!T60&lt;&gt;"",'G2 MT Reading Scoresheet'!T60,"")</f>
        <v/>
      </c>
      <c r="U60" s="87">
        <f>IF('G2 MT Reading Scoresheet'!U60&lt;&gt;"",'G2 MT Reading Scoresheet'!U60,"")</f>
        <v/>
      </c>
      <c r="V60" s="271" t="n"/>
      <c r="Y60" s="221">
        <f>IF(C60&lt;&gt;"",R60/6,"")</f>
        <v/>
      </c>
    </row>
    <row r="61" ht="14.4" customHeight="1" s="346">
      <c r="A61" s="5" t="n">
        <v>51</v>
      </c>
      <c r="B61" s="118">
        <f>IF('G2 MT Reading Scoresheet'!B61&lt;&gt;"",'G2 MT Reading Scoresheet'!B61,"")</f>
        <v/>
      </c>
      <c r="C61" s="133">
        <f>IF('G2 MT Reading Scoresheet'!C61&lt;&gt;"",'G2 MT Reading Scoresheet'!C61,"")</f>
        <v/>
      </c>
      <c r="D61" s="134">
        <f>IF('G2 MT Reading Scoresheet'!D61&lt;&gt;"",'G2 MT Reading Scoresheet'!D61,"")</f>
        <v/>
      </c>
      <c r="E61" s="135">
        <f>IF('G2 MT Reading Scoresheet'!E61&lt;&gt;"",'G2 MT Reading Scoresheet'!E61,"")</f>
        <v/>
      </c>
      <c r="F61" s="272">
        <f>IF('G2 MT Reading Scoresheet'!F61&lt;&gt;"",'G2 MT Reading Scoresheet'!F61,"")</f>
        <v/>
      </c>
      <c r="G61" s="262">
        <f>IF('G2 MT Reading Scoresheet'!G61&lt;&gt;"",'G2 MT Reading Scoresheet'!G61,"")</f>
        <v/>
      </c>
      <c r="H61" s="273">
        <f>IF('G2 MT Reading Scoresheet'!H61&lt;&gt;"",'G2 MT Reading Scoresheet'!H61,"")</f>
        <v/>
      </c>
      <c r="I61" s="81">
        <f>IF('G2 MT Reading Scoresheet'!I61&lt;&gt;"",'G2 MT Reading Scoresheet'!I61,"")</f>
        <v/>
      </c>
      <c r="J61" s="82">
        <f>IF('G2 MT Reading Scoresheet'!J61&lt;&gt;"",'G2 MT Reading Scoresheet'!J61,"")</f>
        <v/>
      </c>
      <c r="K61" s="274">
        <f>IF('G2 MT Reading Scoresheet'!K61&lt;&gt;"",'G2 MT Reading Scoresheet'!K61,"")</f>
        <v/>
      </c>
      <c r="L61" s="275">
        <f>IF('G2 MT Reading Scoresheet'!L61&lt;&gt;"",'G2 MT Reading Scoresheet'!L61,"")</f>
        <v/>
      </c>
      <c r="M61" s="118">
        <f>IF('G2 MT Reading Scoresheet'!M61&lt;&gt;"",'G2 MT Reading Scoresheet'!M61,"")</f>
        <v/>
      </c>
      <c r="N61" s="273">
        <f>IF('G2 MT Reading Scoresheet'!N61&lt;&gt;"",'G2 MT Reading Scoresheet'!N61,"")</f>
        <v/>
      </c>
      <c r="O61" s="273">
        <f>IF('G2 MT Reading Scoresheet'!O61&lt;&gt;"",'G2 MT Reading Scoresheet'!O61,"")</f>
        <v/>
      </c>
      <c r="P61" s="118">
        <f>IF('G2 MT Reading Scoresheet'!P61&lt;&gt;"",'G2 MT Reading Scoresheet'!P61,"")</f>
        <v/>
      </c>
      <c r="Q61" s="122">
        <f>IF('G2 MT Reading Scoresheet'!Q61&lt;&gt;"",'G2 MT Reading Scoresheet'!Q61,"")</f>
        <v/>
      </c>
      <c r="R61" s="273">
        <f>IF('G2 MT Reading Scoresheet'!R61&lt;&gt;"",'G2 MT Reading Scoresheet'!R61,"")</f>
        <v/>
      </c>
      <c r="S61" s="273">
        <f>IF('G2 MT Reading Scoresheet'!S61&lt;&gt;"",'G2 MT Reading Scoresheet'!S61,"")</f>
        <v/>
      </c>
      <c r="T61" s="276">
        <f>IF('G2 MT Reading Scoresheet'!T61&lt;&gt;"",'G2 MT Reading Scoresheet'!T61,"")</f>
        <v/>
      </c>
      <c r="U61" s="87">
        <f>IF('G2 MT Reading Scoresheet'!U61&lt;&gt;"",'G2 MT Reading Scoresheet'!U61,"")</f>
        <v/>
      </c>
      <c r="V61" s="277" t="n"/>
      <c r="Y61" s="221">
        <f>IF(C61&lt;&gt;"",R61/6,"")</f>
        <v/>
      </c>
    </row>
    <row r="62" ht="14.4" customHeight="1" s="346">
      <c r="A62" s="4" t="n">
        <v>52</v>
      </c>
      <c r="B62" s="118">
        <f>IF('G2 MT Reading Scoresheet'!B62&lt;&gt;"",'G2 MT Reading Scoresheet'!B62,"")</f>
        <v/>
      </c>
      <c r="C62" s="133">
        <f>IF('G2 MT Reading Scoresheet'!C62&lt;&gt;"",'G2 MT Reading Scoresheet'!C62,"")</f>
        <v/>
      </c>
      <c r="D62" s="134">
        <f>IF('G2 MT Reading Scoresheet'!D62&lt;&gt;"",'G2 MT Reading Scoresheet'!D62,"")</f>
        <v/>
      </c>
      <c r="E62" s="135">
        <f>IF('G2 MT Reading Scoresheet'!E62&lt;&gt;"",'G2 MT Reading Scoresheet'!E62,"")</f>
        <v/>
      </c>
      <c r="F62" s="268">
        <f>IF('G2 MT Reading Scoresheet'!F62&lt;&gt;"",'G2 MT Reading Scoresheet'!F62,"")</f>
        <v/>
      </c>
      <c r="G62" s="269">
        <f>IF('G2 MT Reading Scoresheet'!G62&lt;&gt;"",'G2 MT Reading Scoresheet'!G62,"")</f>
        <v/>
      </c>
      <c r="H62" s="81">
        <f>IF('G2 MT Reading Scoresheet'!H62&lt;&gt;"",'G2 MT Reading Scoresheet'!H62,"")</f>
        <v/>
      </c>
      <c r="I62" s="81">
        <f>IF('G2 MT Reading Scoresheet'!I62&lt;&gt;"",'G2 MT Reading Scoresheet'!I62,"")</f>
        <v/>
      </c>
      <c r="J62" s="82">
        <f>IF('G2 MT Reading Scoresheet'!J62&lt;&gt;"",'G2 MT Reading Scoresheet'!J62,"")</f>
        <v/>
      </c>
      <c r="K62" s="270">
        <f>IF('G2 MT Reading Scoresheet'!K62&lt;&gt;"",'G2 MT Reading Scoresheet'!K62,"")</f>
        <v/>
      </c>
      <c r="L62" s="87">
        <f>IF('G2 MT Reading Scoresheet'!L62&lt;&gt;"",'G2 MT Reading Scoresheet'!L62,"")</f>
        <v/>
      </c>
      <c r="M62" s="118">
        <f>IF('G2 MT Reading Scoresheet'!M62&lt;&gt;"",'G2 MT Reading Scoresheet'!M62,"")</f>
        <v/>
      </c>
      <c r="N62" s="81">
        <f>IF('G2 MT Reading Scoresheet'!N62&lt;&gt;"",'G2 MT Reading Scoresheet'!N62,"")</f>
        <v/>
      </c>
      <c r="O62" s="81">
        <f>IF('G2 MT Reading Scoresheet'!O62&lt;&gt;"",'G2 MT Reading Scoresheet'!O62,"")</f>
        <v/>
      </c>
      <c r="P62" s="118">
        <f>IF('G2 MT Reading Scoresheet'!P62&lt;&gt;"",'G2 MT Reading Scoresheet'!P62,"")</f>
        <v/>
      </c>
      <c r="Q62" s="122">
        <f>IF('G2 MT Reading Scoresheet'!Q62&lt;&gt;"",'G2 MT Reading Scoresheet'!Q62,"")</f>
        <v/>
      </c>
      <c r="R62" s="81">
        <f>IF('G2 MT Reading Scoresheet'!R62&lt;&gt;"",'G2 MT Reading Scoresheet'!R62,"")</f>
        <v/>
      </c>
      <c r="S62" s="81">
        <f>IF('G2 MT Reading Scoresheet'!S62&lt;&gt;"",'G2 MT Reading Scoresheet'!S62,"")</f>
        <v/>
      </c>
      <c r="T62" s="82">
        <f>IF('G2 MT Reading Scoresheet'!T62&lt;&gt;"",'G2 MT Reading Scoresheet'!T62,"")</f>
        <v/>
      </c>
      <c r="U62" s="87">
        <f>IF('G2 MT Reading Scoresheet'!U62&lt;&gt;"",'G2 MT Reading Scoresheet'!U62,"")</f>
        <v/>
      </c>
      <c r="V62" s="271" t="n"/>
      <c r="Y62" s="221">
        <f>IF(C62&lt;&gt;"",R62/6,"")</f>
        <v/>
      </c>
    </row>
    <row r="63" ht="14.4" customHeight="1" s="346">
      <c r="A63" s="5" t="n">
        <v>53</v>
      </c>
      <c r="B63" s="118">
        <f>IF('G2 MT Reading Scoresheet'!B63&lt;&gt;"",'G2 MT Reading Scoresheet'!B63,"")</f>
        <v/>
      </c>
      <c r="C63" s="133">
        <f>IF('G2 MT Reading Scoresheet'!C63&lt;&gt;"",'G2 MT Reading Scoresheet'!C63,"")</f>
        <v/>
      </c>
      <c r="D63" s="134">
        <f>IF('G2 MT Reading Scoresheet'!D63&lt;&gt;"",'G2 MT Reading Scoresheet'!D63,"")</f>
        <v/>
      </c>
      <c r="E63" s="135">
        <f>IF('G2 MT Reading Scoresheet'!E63&lt;&gt;"",'G2 MT Reading Scoresheet'!E63,"")</f>
        <v/>
      </c>
      <c r="F63" s="272">
        <f>IF('G2 MT Reading Scoresheet'!F63&lt;&gt;"",'G2 MT Reading Scoresheet'!F63,"")</f>
        <v/>
      </c>
      <c r="G63" s="262">
        <f>IF('G2 MT Reading Scoresheet'!G63&lt;&gt;"",'G2 MT Reading Scoresheet'!G63,"")</f>
        <v/>
      </c>
      <c r="H63" s="273">
        <f>IF('G2 MT Reading Scoresheet'!H63&lt;&gt;"",'G2 MT Reading Scoresheet'!H63,"")</f>
        <v/>
      </c>
      <c r="I63" s="81">
        <f>IF('G2 MT Reading Scoresheet'!I63&lt;&gt;"",'G2 MT Reading Scoresheet'!I63,"")</f>
        <v/>
      </c>
      <c r="J63" s="82">
        <f>IF('G2 MT Reading Scoresheet'!J63&lt;&gt;"",'G2 MT Reading Scoresheet'!J63,"")</f>
        <v/>
      </c>
      <c r="K63" s="274">
        <f>IF('G2 MT Reading Scoresheet'!K63&lt;&gt;"",'G2 MT Reading Scoresheet'!K63,"")</f>
        <v/>
      </c>
      <c r="L63" s="275">
        <f>IF('G2 MT Reading Scoresheet'!L63&lt;&gt;"",'G2 MT Reading Scoresheet'!L63,"")</f>
        <v/>
      </c>
      <c r="M63" s="118">
        <f>IF('G2 MT Reading Scoresheet'!M63&lt;&gt;"",'G2 MT Reading Scoresheet'!M63,"")</f>
        <v/>
      </c>
      <c r="N63" s="273">
        <f>IF('G2 MT Reading Scoresheet'!N63&lt;&gt;"",'G2 MT Reading Scoresheet'!N63,"")</f>
        <v/>
      </c>
      <c r="O63" s="273">
        <f>IF('G2 MT Reading Scoresheet'!O63&lt;&gt;"",'G2 MT Reading Scoresheet'!O63,"")</f>
        <v/>
      </c>
      <c r="P63" s="118">
        <f>IF('G2 MT Reading Scoresheet'!P63&lt;&gt;"",'G2 MT Reading Scoresheet'!P63,"")</f>
        <v/>
      </c>
      <c r="Q63" s="122">
        <f>IF('G2 MT Reading Scoresheet'!Q63&lt;&gt;"",'G2 MT Reading Scoresheet'!Q63,"")</f>
        <v/>
      </c>
      <c r="R63" s="273">
        <f>IF('G2 MT Reading Scoresheet'!R63&lt;&gt;"",'G2 MT Reading Scoresheet'!R63,"")</f>
        <v/>
      </c>
      <c r="S63" s="273">
        <f>IF('G2 MT Reading Scoresheet'!S63&lt;&gt;"",'G2 MT Reading Scoresheet'!S63,"")</f>
        <v/>
      </c>
      <c r="T63" s="276">
        <f>IF('G2 MT Reading Scoresheet'!T63&lt;&gt;"",'G2 MT Reading Scoresheet'!T63,"")</f>
        <v/>
      </c>
      <c r="U63" s="87">
        <f>IF('G2 MT Reading Scoresheet'!U63&lt;&gt;"",'G2 MT Reading Scoresheet'!U63,"")</f>
        <v/>
      </c>
      <c r="V63" s="277" t="n"/>
      <c r="Y63" s="221">
        <f>IF(C63&lt;&gt;"",R63/6,"")</f>
        <v/>
      </c>
    </row>
    <row r="64" ht="14.4" customHeight="1" s="346">
      <c r="A64" s="4" t="n">
        <v>54</v>
      </c>
      <c r="B64" s="118">
        <f>IF('G2 MT Reading Scoresheet'!B64&lt;&gt;"",'G2 MT Reading Scoresheet'!B64,"")</f>
        <v/>
      </c>
      <c r="C64" s="133">
        <f>IF('G2 MT Reading Scoresheet'!C64&lt;&gt;"",'G2 MT Reading Scoresheet'!C64,"")</f>
        <v/>
      </c>
      <c r="D64" s="134">
        <f>IF('G2 MT Reading Scoresheet'!D64&lt;&gt;"",'G2 MT Reading Scoresheet'!D64,"")</f>
        <v/>
      </c>
      <c r="E64" s="135">
        <f>IF('G2 MT Reading Scoresheet'!E64&lt;&gt;"",'G2 MT Reading Scoresheet'!E64,"")</f>
        <v/>
      </c>
      <c r="F64" s="268">
        <f>IF('G2 MT Reading Scoresheet'!F64&lt;&gt;"",'G2 MT Reading Scoresheet'!F64,"")</f>
        <v/>
      </c>
      <c r="G64" s="269">
        <f>IF('G2 MT Reading Scoresheet'!G64&lt;&gt;"",'G2 MT Reading Scoresheet'!G64,"")</f>
        <v/>
      </c>
      <c r="H64" s="81">
        <f>IF('G2 MT Reading Scoresheet'!H64&lt;&gt;"",'G2 MT Reading Scoresheet'!H64,"")</f>
        <v/>
      </c>
      <c r="I64" s="81">
        <f>IF('G2 MT Reading Scoresheet'!I64&lt;&gt;"",'G2 MT Reading Scoresheet'!I64,"")</f>
        <v/>
      </c>
      <c r="J64" s="82">
        <f>IF('G2 MT Reading Scoresheet'!J64&lt;&gt;"",'G2 MT Reading Scoresheet'!J64,"")</f>
        <v/>
      </c>
      <c r="K64" s="270">
        <f>IF('G2 MT Reading Scoresheet'!K64&lt;&gt;"",'G2 MT Reading Scoresheet'!K64,"")</f>
        <v/>
      </c>
      <c r="L64" s="87">
        <f>IF('G2 MT Reading Scoresheet'!L64&lt;&gt;"",'G2 MT Reading Scoresheet'!L64,"")</f>
        <v/>
      </c>
      <c r="M64" s="118">
        <f>IF('G2 MT Reading Scoresheet'!M64&lt;&gt;"",'G2 MT Reading Scoresheet'!M64,"")</f>
        <v/>
      </c>
      <c r="N64" s="81">
        <f>IF('G2 MT Reading Scoresheet'!N64&lt;&gt;"",'G2 MT Reading Scoresheet'!N64,"")</f>
        <v/>
      </c>
      <c r="O64" s="81">
        <f>IF('G2 MT Reading Scoresheet'!O64&lt;&gt;"",'G2 MT Reading Scoresheet'!O64,"")</f>
        <v/>
      </c>
      <c r="P64" s="118">
        <f>IF('G2 MT Reading Scoresheet'!P64&lt;&gt;"",'G2 MT Reading Scoresheet'!P64,"")</f>
        <v/>
      </c>
      <c r="Q64" s="122">
        <f>IF('G2 MT Reading Scoresheet'!Q64&lt;&gt;"",'G2 MT Reading Scoresheet'!Q64,"")</f>
        <v/>
      </c>
      <c r="R64" s="81">
        <f>IF('G2 MT Reading Scoresheet'!R64&lt;&gt;"",'G2 MT Reading Scoresheet'!R64,"")</f>
        <v/>
      </c>
      <c r="S64" s="81">
        <f>IF('G2 MT Reading Scoresheet'!S64&lt;&gt;"",'G2 MT Reading Scoresheet'!S64,"")</f>
        <v/>
      </c>
      <c r="T64" s="82">
        <f>IF('G2 MT Reading Scoresheet'!T64&lt;&gt;"",'G2 MT Reading Scoresheet'!T64,"")</f>
        <v/>
      </c>
      <c r="U64" s="87">
        <f>IF('G2 MT Reading Scoresheet'!U64&lt;&gt;"",'G2 MT Reading Scoresheet'!U64,"")</f>
        <v/>
      </c>
      <c r="V64" s="271" t="n"/>
      <c r="Y64" s="221">
        <f>IF(C64&lt;&gt;"",R64/6,"")</f>
        <v/>
      </c>
    </row>
    <row r="65" ht="14.4" customHeight="1" s="346">
      <c r="A65" s="5" t="n">
        <v>55</v>
      </c>
      <c r="B65" s="118">
        <f>IF('G2 MT Reading Scoresheet'!B65&lt;&gt;"",'G2 MT Reading Scoresheet'!B65,"")</f>
        <v/>
      </c>
      <c r="C65" s="133">
        <f>IF('G2 MT Reading Scoresheet'!C65&lt;&gt;"",'G2 MT Reading Scoresheet'!C65,"")</f>
        <v/>
      </c>
      <c r="D65" s="134">
        <f>IF('G2 MT Reading Scoresheet'!D65&lt;&gt;"",'G2 MT Reading Scoresheet'!D65,"")</f>
        <v/>
      </c>
      <c r="E65" s="135">
        <f>IF('G2 MT Reading Scoresheet'!E65&lt;&gt;"",'G2 MT Reading Scoresheet'!E65,"")</f>
        <v/>
      </c>
      <c r="F65" s="272">
        <f>IF('G2 MT Reading Scoresheet'!F65&lt;&gt;"",'G2 MT Reading Scoresheet'!F65,"")</f>
        <v/>
      </c>
      <c r="G65" s="262">
        <f>IF('G2 MT Reading Scoresheet'!G65&lt;&gt;"",'G2 MT Reading Scoresheet'!G65,"")</f>
        <v/>
      </c>
      <c r="H65" s="273">
        <f>IF('G2 MT Reading Scoresheet'!H65&lt;&gt;"",'G2 MT Reading Scoresheet'!H65,"")</f>
        <v/>
      </c>
      <c r="I65" s="81">
        <f>IF('G2 MT Reading Scoresheet'!I65&lt;&gt;"",'G2 MT Reading Scoresheet'!I65,"")</f>
        <v/>
      </c>
      <c r="J65" s="82">
        <f>IF('G2 MT Reading Scoresheet'!J65&lt;&gt;"",'G2 MT Reading Scoresheet'!J65,"")</f>
        <v/>
      </c>
      <c r="K65" s="274">
        <f>IF('G2 MT Reading Scoresheet'!K65&lt;&gt;"",'G2 MT Reading Scoresheet'!K65,"")</f>
        <v/>
      </c>
      <c r="L65" s="275">
        <f>IF('G2 MT Reading Scoresheet'!L65&lt;&gt;"",'G2 MT Reading Scoresheet'!L65,"")</f>
        <v/>
      </c>
      <c r="M65" s="118">
        <f>IF('G2 MT Reading Scoresheet'!M65&lt;&gt;"",'G2 MT Reading Scoresheet'!M65,"")</f>
        <v/>
      </c>
      <c r="N65" s="273">
        <f>IF('G2 MT Reading Scoresheet'!N65&lt;&gt;"",'G2 MT Reading Scoresheet'!N65,"")</f>
        <v/>
      </c>
      <c r="O65" s="273">
        <f>IF('G2 MT Reading Scoresheet'!O65&lt;&gt;"",'G2 MT Reading Scoresheet'!O65,"")</f>
        <v/>
      </c>
      <c r="P65" s="118">
        <f>IF('G2 MT Reading Scoresheet'!P65&lt;&gt;"",'G2 MT Reading Scoresheet'!P65,"")</f>
        <v/>
      </c>
      <c r="Q65" s="122">
        <f>IF('G2 MT Reading Scoresheet'!Q65&lt;&gt;"",'G2 MT Reading Scoresheet'!Q65,"")</f>
        <v/>
      </c>
      <c r="R65" s="273">
        <f>IF('G2 MT Reading Scoresheet'!R65&lt;&gt;"",'G2 MT Reading Scoresheet'!R65,"")</f>
        <v/>
      </c>
      <c r="S65" s="273">
        <f>IF('G2 MT Reading Scoresheet'!S65&lt;&gt;"",'G2 MT Reading Scoresheet'!S65,"")</f>
        <v/>
      </c>
      <c r="T65" s="276">
        <f>IF('G2 MT Reading Scoresheet'!T65&lt;&gt;"",'G2 MT Reading Scoresheet'!T65,"")</f>
        <v/>
      </c>
      <c r="U65" s="87">
        <f>IF('G2 MT Reading Scoresheet'!U65&lt;&gt;"",'G2 MT Reading Scoresheet'!U65,"")</f>
        <v/>
      </c>
      <c r="V65" s="277" t="n"/>
      <c r="Y65" s="221">
        <f>IF(C65&lt;&gt;"",R65/6,"")</f>
        <v/>
      </c>
    </row>
    <row r="66" ht="14.4" customHeight="1" s="346">
      <c r="A66" s="4" t="n">
        <v>56</v>
      </c>
      <c r="B66" s="118">
        <f>IF('G2 MT Reading Scoresheet'!B66&lt;&gt;"",'G2 MT Reading Scoresheet'!B66,"")</f>
        <v/>
      </c>
      <c r="C66" s="133">
        <f>IF('G2 MT Reading Scoresheet'!C66&lt;&gt;"",'G2 MT Reading Scoresheet'!C66,"")</f>
        <v/>
      </c>
      <c r="D66" s="134">
        <f>IF('G2 MT Reading Scoresheet'!D66&lt;&gt;"",'G2 MT Reading Scoresheet'!D66,"")</f>
        <v/>
      </c>
      <c r="E66" s="135">
        <f>IF('G2 MT Reading Scoresheet'!E66&lt;&gt;"",'G2 MT Reading Scoresheet'!E66,"")</f>
        <v/>
      </c>
      <c r="F66" s="268">
        <f>IF('G2 MT Reading Scoresheet'!F66&lt;&gt;"",'G2 MT Reading Scoresheet'!F66,"")</f>
        <v/>
      </c>
      <c r="G66" s="269">
        <f>IF('G2 MT Reading Scoresheet'!G66&lt;&gt;"",'G2 MT Reading Scoresheet'!G66,"")</f>
        <v/>
      </c>
      <c r="H66" s="81">
        <f>IF('G2 MT Reading Scoresheet'!H66&lt;&gt;"",'G2 MT Reading Scoresheet'!H66,"")</f>
        <v/>
      </c>
      <c r="I66" s="81">
        <f>IF('G2 MT Reading Scoresheet'!I66&lt;&gt;"",'G2 MT Reading Scoresheet'!I66,"")</f>
        <v/>
      </c>
      <c r="J66" s="82">
        <f>IF('G2 MT Reading Scoresheet'!J66&lt;&gt;"",'G2 MT Reading Scoresheet'!J66,"")</f>
        <v/>
      </c>
      <c r="K66" s="270">
        <f>IF('G2 MT Reading Scoresheet'!K66&lt;&gt;"",'G2 MT Reading Scoresheet'!K66,"")</f>
        <v/>
      </c>
      <c r="L66" s="87">
        <f>IF('G2 MT Reading Scoresheet'!L66&lt;&gt;"",'G2 MT Reading Scoresheet'!L66,"")</f>
        <v/>
      </c>
      <c r="M66" s="118">
        <f>IF('G2 MT Reading Scoresheet'!M66&lt;&gt;"",'G2 MT Reading Scoresheet'!M66,"")</f>
        <v/>
      </c>
      <c r="N66" s="81">
        <f>IF('G2 MT Reading Scoresheet'!N66&lt;&gt;"",'G2 MT Reading Scoresheet'!N66,"")</f>
        <v/>
      </c>
      <c r="O66" s="81">
        <f>IF('G2 MT Reading Scoresheet'!O66&lt;&gt;"",'G2 MT Reading Scoresheet'!O66,"")</f>
        <v/>
      </c>
      <c r="P66" s="118">
        <f>IF('G2 MT Reading Scoresheet'!P66&lt;&gt;"",'G2 MT Reading Scoresheet'!P66,"")</f>
        <v/>
      </c>
      <c r="Q66" s="122">
        <f>IF('G2 MT Reading Scoresheet'!Q66&lt;&gt;"",'G2 MT Reading Scoresheet'!Q66,"")</f>
        <v/>
      </c>
      <c r="R66" s="81">
        <f>IF('G2 MT Reading Scoresheet'!R66&lt;&gt;"",'G2 MT Reading Scoresheet'!R66,"")</f>
        <v/>
      </c>
      <c r="S66" s="81">
        <f>IF('G2 MT Reading Scoresheet'!S66&lt;&gt;"",'G2 MT Reading Scoresheet'!S66,"")</f>
        <v/>
      </c>
      <c r="T66" s="82">
        <f>IF('G2 MT Reading Scoresheet'!T66&lt;&gt;"",'G2 MT Reading Scoresheet'!T66,"")</f>
        <v/>
      </c>
      <c r="U66" s="87">
        <f>IF('G2 MT Reading Scoresheet'!U66&lt;&gt;"",'G2 MT Reading Scoresheet'!U66,"")</f>
        <v/>
      </c>
      <c r="V66" s="271" t="n"/>
      <c r="Y66" s="221">
        <f>IF(C66&lt;&gt;"",R66/6,"")</f>
        <v/>
      </c>
    </row>
    <row r="67" ht="14.4" customHeight="1" s="346">
      <c r="A67" s="5" t="n">
        <v>57</v>
      </c>
      <c r="B67" s="118">
        <f>IF('G2 MT Reading Scoresheet'!B67&lt;&gt;"",'G2 MT Reading Scoresheet'!B67,"")</f>
        <v/>
      </c>
      <c r="C67" s="133">
        <f>IF('G2 MT Reading Scoresheet'!C67&lt;&gt;"",'G2 MT Reading Scoresheet'!C67,"")</f>
        <v/>
      </c>
      <c r="D67" s="134">
        <f>IF('G2 MT Reading Scoresheet'!D67&lt;&gt;"",'G2 MT Reading Scoresheet'!D67,"")</f>
        <v/>
      </c>
      <c r="E67" s="135">
        <f>IF('G2 MT Reading Scoresheet'!E67&lt;&gt;"",'G2 MT Reading Scoresheet'!E67,"")</f>
        <v/>
      </c>
      <c r="F67" s="272">
        <f>IF('G2 MT Reading Scoresheet'!F67&lt;&gt;"",'G2 MT Reading Scoresheet'!F67,"")</f>
        <v/>
      </c>
      <c r="G67" s="262">
        <f>IF('G2 MT Reading Scoresheet'!G67&lt;&gt;"",'G2 MT Reading Scoresheet'!G67,"")</f>
        <v/>
      </c>
      <c r="H67" s="273">
        <f>IF('G2 MT Reading Scoresheet'!H67&lt;&gt;"",'G2 MT Reading Scoresheet'!H67,"")</f>
        <v/>
      </c>
      <c r="I67" s="81">
        <f>IF('G2 MT Reading Scoresheet'!I67&lt;&gt;"",'G2 MT Reading Scoresheet'!I67,"")</f>
        <v/>
      </c>
      <c r="J67" s="82">
        <f>IF('G2 MT Reading Scoresheet'!J67&lt;&gt;"",'G2 MT Reading Scoresheet'!J67,"")</f>
        <v/>
      </c>
      <c r="K67" s="274">
        <f>IF('G2 MT Reading Scoresheet'!K67&lt;&gt;"",'G2 MT Reading Scoresheet'!K67,"")</f>
        <v/>
      </c>
      <c r="L67" s="275">
        <f>IF('G2 MT Reading Scoresheet'!L67&lt;&gt;"",'G2 MT Reading Scoresheet'!L67,"")</f>
        <v/>
      </c>
      <c r="M67" s="118">
        <f>IF('G2 MT Reading Scoresheet'!M67&lt;&gt;"",'G2 MT Reading Scoresheet'!M67,"")</f>
        <v/>
      </c>
      <c r="N67" s="273">
        <f>IF('G2 MT Reading Scoresheet'!N67&lt;&gt;"",'G2 MT Reading Scoresheet'!N67,"")</f>
        <v/>
      </c>
      <c r="O67" s="273">
        <f>IF('G2 MT Reading Scoresheet'!O67&lt;&gt;"",'G2 MT Reading Scoresheet'!O67,"")</f>
        <v/>
      </c>
      <c r="P67" s="118">
        <f>IF('G2 MT Reading Scoresheet'!P67&lt;&gt;"",'G2 MT Reading Scoresheet'!P67,"")</f>
        <v/>
      </c>
      <c r="Q67" s="122">
        <f>IF('G2 MT Reading Scoresheet'!Q67&lt;&gt;"",'G2 MT Reading Scoresheet'!Q67,"")</f>
        <v/>
      </c>
      <c r="R67" s="273">
        <f>IF('G2 MT Reading Scoresheet'!R67&lt;&gt;"",'G2 MT Reading Scoresheet'!R67,"")</f>
        <v/>
      </c>
      <c r="S67" s="273">
        <f>IF('G2 MT Reading Scoresheet'!S67&lt;&gt;"",'G2 MT Reading Scoresheet'!S67,"")</f>
        <v/>
      </c>
      <c r="T67" s="276">
        <f>IF('G2 MT Reading Scoresheet'!T67&lt;&gt;"",'G2 MT Reading Scoresheet'!T67,"")</f>
        <v/>
      </c>
      <c r="U67" s="87">
        <f>IF('G2 MT Reading Scoresheet'!U67&lt;&gt;"",'G2 MT Reading Scoresheet'!U67,"")</f>
        <v/>
      </c>
      <c r="V67" s="277" t="n"/>
      <c r="Y67" s="221">
        <f>IF(C67&lt;&gt;"",R67/6,"")</f>
        <v/>
      </c>
    </row>
    <row r="68" ht="14.4" customHeight="1" s="346">
      <c r="A68" s="4" t="n">
        <v>58</v>
      </c>
      <c r="B68" s="118">
        <f>IF('G2 MT Reading Scoresheet'!B68&lt;&gt;"",'G2 MT Reading Scoresheet'!B68,"")</f>
        <v/>
      </c>
      <c r="C68" s="133">
        <f>IF('G2 MT Reading Scoresheet'!C68&lt;&gt;"",'G2 MT Reading Scoresheet'!C68,"")</f>
        <v/>
      </c>
      <c r="D68" s="134">
        <f>IF('G2 MT Reading Scoresheet'!D68&lt;&gt;"",'G2 MT Reading Scoresheet'!D68,"")</f>
        <v/>
      </c>
      <c r="E68" s="135">
        <f>IF('G2 MT Reading Scoresheet'!E68&lt;&gt;"",'G2 MT Reading Scoresheet'!E68,"")</f>
        <v/>
      </c>
      <c r="F68" s="268">
        <f>IF('G2 MT Reading Scoresheet'!F68&lt;&gt;"",'G2 MT Reading Scoresheet'!F68,"")</f>
        <v/>
      </c>
      <c r="G68" s="269">
        <f>IF('G2 MT Reading Scoresheet'!G68&lt;&gt;"",'G2 MT Reading Scoresheet'!G68,"")</f>
        <v/>
      </c>
      <c r="H68" s="81">
        <f>IF('G2 MT Reading Scoresheet'!H68&lt;&gt;"",'G2 MT Reading Scoresheet'!H68,"")</f>
        <v/>
      </c>
      <c r="I68" s="81">
        <f>IF('G2 MT Reading Scoresheet'!I68&lt;&gt;"",'G2 MT Reading Scoresheet'!I68,"")</f>
        <v/>
      </c>
      <c r="J68" s="82">
        <f>IF('G2 MT Reading Scoresheet'!J68&lt;&gt;"",'G2 MT Reading Scoresheet'!J68,"")</f>
        <v/>
      </c>
      <c r="K68" s="270">
        <f>IF('G2 MT Reading Scoresheet'!K68&lt;&gt;"",'G2 MT Reading Scoresheet'!K68,"")</f>
        <v/>
      </c>
      <c r="L68" s="87">
        <f>IF('G2 MT Reading Scoresheet'!L68&lt;&gt;"",'G2 MT Reading Scoresheet'!L68,"")</f>
        <v/>
      </c>
      <c r="M68" s="118">
        <f>IF('G2 MT Reading Scoresheet'!M68&lt;&gt;"",'G2 MT Reading Scoresheet'!M68,"")</f>
        <v/>
      </c>
      <c r="N68" s="81">
        <f>IF('G2 MT Reading Scoresheet'!N68&lt;&gt;"",'G2 MT Reading Scoresheet'!N68,"")</f>
        <v/>
      </c>
      <c r="O68" s="81">
        <f>IF('G2 MT Reading Scoresheet'!O68&lt;&gt;"",'G2 MT Reading Scoresheet'!O68,"")</f>
        <v/>
      </c>
      <c r="P68" s="118">
        <f>IF('G2 MT Reading Scoresheet'!P68&lt;&gt;"",'G2 MT Reading Scoresheet'!P68,"")</f>
        <v/>
      </c>
      <c r="Q68" s="122">
        <f>IF('G2 MT Reading Scoresheet'!Q68&lt;&gt;"",'G2 MT Reading Scoresheet'!Q68,"")</f>
        <v/>
      </c>
      <c r="R68" s="81">
        <f>IF('G2 MT Reading Scoresheet'!R68&lt;&gt;"",'G2 MT Reading Scoresheet'!R68,"")</f>
        <v/>
      </c>
      <c r="S68" s="81">
        <f>IF('G2 MT Reading Scoresheet'!S68&lt;&gt;"",'G2 MT Reading Scoresheet'!S68,"")</f>
        <v/>
      </c>
      <c r="T68" s="82">
        <f>IF('G2 MT Reading Scoresheet'!T68&lt;&gt;"",'G2 MT Reading Scoresheet'!T68,"")</f>
        <v/>
      </c>
      <c r="U68" s="87">
        <f>IF('G2 MT Reading Scoresheet'!U68&lt;&gt;"",'G2 MT Reading Scoresheet'!U68,"")</f>
        <v/>
      </c>
      <c r="V68" s="271" t="n"/>
      <c r="Y68" s="221">
        <f>IF(C68&lt;&gt;"",R68/6,"")</f>
        <v/>
      </c>
    </row>
    <row r="69" ht="14.4" customHeight="1" s="346">
      <c r="A69" s="5" t="n">
        <v>59</v>
      </c>
      <c r="B69" s="118">
        <f>IF('G2 MT Reading Scoresheet'!B69&lt;&gt;"",'G2 MT Reading Scoresheet'!B69,"")</f>
        <v/>
      </c>
      <c r="C69" s="133">
        <f>IF('G2 MT Reading Scoresheet'!C69&lt;&gt;"",'G2 MT Reading Scoresheet'!C69,"")</f>
        <v/>
      </c>
      <c r="D69" s="134">
        <f>IF('G2 MT Reading Scoresheet'!D69&lt;&gt;"",'G2 MT Reading Scoresheet'!D69,"")</f>
        <v/>
      </c>
      <c r="E69" s="135">
        <f>IF('G2 MT Reading Scoresheet'!E69&lt;&gt;"",'G2 MT Reading Scoresheet'!E69,"")</f>
        <v/>
      </c>
      <c r="F69" s="272">
        <f>IF('G2 MT Reading Scoresheet'!F69&lt;&gt;"",'G2 MT Reading Scoresheet'!F69,"")</f>
        <v/>
      </c>
      <c r="G69" s="262">
        <f>IF('G2 MT Reading Scoresheet'!G69&lt;&gt;"",'G2 MT Reading Scoresheet'!G69,"")</f>
        <v/>
      </c>
      <c r="H69" s="273">
        <f>IF('G2 MT Reading Scoresheet'!H69&lt;&gt;"",'G2 MT Reading Scoresheet'!H69,"")</f>
        <v/>
      </c>
      <c r="I69" s="81">
        <f>IF('G2 MT Reading Scoresheet'!I69&lt;&gt;"",'G2 MT Reading Scoresheet'!I69,"")</f>
        <v/>
      </c>
      <c r="J69" s="82">
        <f>IF('G2 MT Reading Scoresheet'!J69&lt;&gt;"",'G2 MT Reading Scoresheet'!J69,"")</f>
        <v/>
      </c>
      <c r="K69" s="274">
        <f>IF('G2 MT Reading Scoresheet'!K69&lt;&gt;"",'G2 MT Reading Scoresheet'!K69,"")</f>
        <v/>
      </c>
      <c r="L69" s="275">
        <f>IF('G2 MT Reading Scoresheet'!L69&lt;&gt;"",'G2 MT Reading Scoresheet'!L69,"")</f>
        <v/>
      </c>
      <c r="M69" s="118">
        <f>IF('G2 MT Reading Scoresheet'!M69&lt;&gt;"",'G2 MT Reading Scoresheet'!M69,"")</f>
        <v/>
      </c>
      <c r="N69" s="273">
        <f>IF('G2 MT Reading Scoresheet'!N69&lt;&gt;"",'G2 MT Reading Scoresheet'!N69,"")</f>
        <v/>
      </c>
      <c r="O69" s="273">
        <f>IF('G2 MT Reading Scoresheet'!O69&lt;&gt;"",'G2 MT Reading Scoresheet'!O69,"")</f>
        <v/>
      </c>
      <c r="P69" s="118">
        <f>IF('G2 MT Reading Scoresheet'!P69&lt;&gt;"",'G2 MT Reading Scoresheet'!P69,"")</f>
        <v/>
      </c>
      <c r="Q69" s="122">
        <f>IF('G2 MT Reading Scoresheet'!Q69&lt;&gt;"",'G2 MT Reading Scoresheet'!Q69,"")</f>
        <v/>
      </c>
      <c r="R69" s="273">
        <f>IF('G2 MT Reading Scoresheet'!R69&lt;&gt;"",'G2 MT Reading Scoresheet'!R69,"")</f>
        <v/>
      </c>
      <c r="S69" s="273">
        <f>IF('G2 MT Reading Scoresheet'!S69&lt;&gt;"",'G2 MT Reading Scoresheet'!S69,"")</f>
        <v/>
      </c>
      <c r="T69" s="276">
        <f>IF('G2 MT Reading Scoresheet'!T69&lt;&gt;"",'G2 MT Reading Scoresheet'!T69,"")</f>
        <v/>
      </c>
      <c r="U69" s="87">
        <f>IF('G2 MT Reading Scoresheet'!U69&lt;&gt;"",'G2 MT Reading Scoresheet'!U69,"")</f>
        <v/>
      </c>
      <c r="V69" s="277" t="n"/>
      <c r="Y69" s="221">
        <f>IF(C69&lt;&gt;"",R69/6,"")</f>
        <v/>
      </c>
    </row>
    <row r="70" ht="14.4" customHeight="1" s="346">
      <c r="A70" s="5">
        <f>A69+1</f>
        <v/>
      </c>
      <c r="B70" s="118">
        <f>IF('G2 MT Reading Scoresheet'!B70&lt;&gt;"",'G2 MT Reading Scoresheet'!B70,"")</f>
        <v/>
      </c>
      <c r="C70" s="133">
        <f>IF('G2 MT Reading Scoresheet'!C70&lt;&gt;"",'G2 MT Reading Scoresheet'!C70,"")</f>
        <v/>
      </c>
      <c r="D70" s="134">
        <f>IF('G2 MT Reading Scoresheet'!D70&lt;&gt;"",'G2 MT Reading Scoresheet'!D70,"")</f>
        <v/>
      </c>
      <c r="E70" s="135">
        <f>IF('G2 MT Reading Scoresheet'!E70&lt;&gt;"",'G2 MT Reading Scoresheet'!E70,"")</f>
        <v/>
      </c>
      <c r="F70" s="272">
        <f>IF('G2 MT Reading Scoresheet'!F70&lt;&gt;"",'G2 MT Reading Scoresheet'!F70,"")</f>
        <v/>
      </c>
      <c r="G70" s="269">
        <f>IF('G2 MT Reading Scoresheet'!G70&lt;&gt;"",'G2 MT Reading Scoresheet'!G70,"")</f>
        <v/>
      </c>
      <c r="H70" s="81">
        <f>IF('G2 MT Reading Scoresheet'!H70&lt;&gt;"",'G2 MT Reading Scoresheet'!H70,"")</f>
        <v/>
      </c>
      <c r="I70" s="81">
        <f>IF('G2 MT Reading Scoresheet'!I70&lt;&gt;"",'G2 MT Reading Scoresheet'!I70,"")</f>
        <v/>
      </c>
      <c r="J70" s="82">
        <f>IF('G2 MT Reading Scoresheet'!J70&lt;&gt;"",'G2 MT Reading Scoresheet'!J70,"")</f>
        <v/>
      </c>
      <c r="K70" s="270">
        <f>IF('G2 MT Reading Scoresheet'!K70&lt;&gt;"",'G2 MT Reading Scoresheet'!K70,"")</f>
        <v/>
      </c>
      <c r="L70" s="87">
        <f>IF('G2 MT Reading Scoresheet'!L70&lt;&gt;"",'G2 MT Reading Scoresheet'!L70,"")</f>
        <v/>
      </c>
      <c r="M70" s="118">
        <f>IF('G2 MT Reading Scoresheet'!M70&lt;&gt;"",'G2 MT Reading Scoresheet'!M70,"")</f>
        <v/>
      </c>
      <c r="N70" s="81">
        <f>IF('G2 MT Reading Scoresheet'!N70&lt;&gt;"",'G2 MT Reading Scoresheet'!N70,"")</f>
        <v/>
      </c>
      <c r="O70" s="81">
        <f>IF('G2 MT Reading Scoresheet'!O70&lt;&gt;"",'G2 MT Reading Scoresheet'!O70,"")</f>
        <v/>
      </c>
      <c r="P70" s="118">
        <f>IF('G2 MT Reading Scoresheet'!P70&lt;&gt;"",'G2 MT Reading Scoresheet'!P70,"")</f>
        <v/>
      </c>
      <c r="Q70" s="122">
        <f>IF('G2 MT Reading Scoresheet'!Q70&lt;&gt;"",'G2 MT Reading Scoresheet'!Q70,"")</f>
        <v/>
      </c>
      <c r="R70" s="81">
        <f>IF('G2 MT Reading Scoresheet'!R70&lt;&gt;"",'G2 MT Reading Scoresheet'!R70,"")</f>
        <v/>
      </c>
      <c r="S70" s="81">
        <f>IF('G2 MT Reading Scoresheet'!S70&lt;&gt;"",'G2 MT Reading Scoresheet'!S70,"")</f>
        <v/>
      </c>
      <c r="T70" s="82">
        <f>IF('G2 MT Reading Scoresheet'!T70&lt;&gt;"",'G2 MT Reading Scoresheet'!T70,"")</f>
        <v/>
      </c>
      <c r="U70" s="87">
        <f>IF('G2 MT Reading Scoresheet'!U70&lt;&gt;"",'G2 MT Reading Scoresheet'!U70,"")</f>
        <v/>
      </c>
      <c r="V70" s="271" t="n"/>
      <c r="Y70" s="221">
        <f>IF(C70&lt;&gt;"",R70/6,"")</f>
        <v/>
      </c>
    </row>
    <row r="71" ht="14.4" customHeight="1" s="346">
      <c r="A71" s="4">
        <f>A70+1</f>
        <v/>
      </c>
      <c r="B71" s="118">
        <f>IF('G2 MT Reading Scoresheet'!B71&lt;&gt;"",'G2 MT Reading Scoresheet'!B71,"")</f>
        <v/>
      </c>
      <c r="C71" s="133">
        <f>IF('G2 MT Reading Scoresheet'!C71&lt;&gt;"",'G2 MT Reading Scoresheet'!C71,"")</f>
        <v/>
      </c>
      <c r="D71" s="134">
        <f>IF('G2 MT Reading Scoresheet'!D71&lt;&gt;"",'G2 MT Reading Scoresheet'!D71,"")</f>
        <v/>
      </c>
      <c r="E71" s="135">
        <f>IF('G2 MT Reading Scoresheet'!E71&lt;&gt;"",'G2 MT Reading Scoresheet'!E71,"")</f>
        <v/>
      </c>
      <c r="F71" s="268">
        <f>IF('G2 MT Reading Scoresheet'!F71&lt;&gt;"",'G2 MT Reading Scoresheet'!F71,"")</f>
        <v/>
      </c>
      <c r="G71" s="262">
        <f>IF('G2 MT Reading Scoresheet'!G71&lt;&gt;"",'G2 MT Reading Scoresheet'!G71,"")</f>
        <v/>
      </c>
      <c r="H71" s="273">
        <f>IF('G2 MT Reading Scoresheet'!H71&lt;&gt;"",'G2 MT Reading Scoresheet'!H71,"")</f>
        <v/>
      </c>
      <c r="I71" s="81">
        <f>IF('G2 MT Reading Scoresheet'!I71&lt;&gt;"",'G2 MT Reading Scoresheet'!I71,"")</f>
        <v/>
      </c>
      <c r="J71" s="82">
        <f>IF('G2 MT Reading Scoresheet'!J71&lt;&gt;"",'G2 MT Reading Scoresheet'!J71,"")</f>
        <v/>
      </c>
      <c r="K71" s="274">
        <f>IF('G2 MT Reading Scoresheet'!K71&lt;&gt;"",'G2 MT Reading Scoresheet'!K71,"")</f>
        <v/>
      </c>
      <c r="L71" s="275">
        <f>IF('G2 MT Reading Scoresheet'!L71&lt;&gt;"",'G2 MT Reading Scoresheet'!L71,"")</f>
        <v/>
      </c>
      <c r="M71" s="118">
        <f>IF('G2 MT Reading Scoresheet'!M71&lt;&gt;"",'G2 MT Reading Scoresheet'!M71,"")</f>
        <v/>
      </c>
      <c r="N71" s="273">
        <f>IF('G2 MT Reading Scoresheet'!N71&lt;&gt;"",'G2 MT Reading Scoresheet'!N71,"")</f>
        <v/>
      </c>
      <c r="O71" s="273">
        <f>IF('G2 MT Reading Scoresheet'!O71&lt;&gt;"",'G2 MT Reading Scoresheet'!O71,"")</f>
        <v/>
      </c>
      <c r="P71" s="118">
        <f>IF('G2 MT Reading Scoresheet'!P71&lt;&gt;"",'G2 MT Reading Scoresheet'!P71,"")</f>
        <v/>
      </c>
      <c r="Q71" s="122">
        <f>IF('G2 MT Reading Scoresheet'!Q71&lt;&gt;"",'G2 MT Reading Scoresheet'!Q71,"")</f>
        <v/>
      </c>
      <c r="R71" s="273">
        <f>IF('G2 MT Reading Scoresheet'!R71&lt;&gt;"",'G2 MT Reading Scoresheet'!R71,"")</f>
        <v/>
      </c>
      <c r="S71" s="273">
        <f>IF('G2 MT Reading Scoresheet'!S71&lt;&gt;"",'G2 MT Reading Scoresheet'!S71,"")</f>
        <v/>
      </c>
      <c r="T71" s="276">
        <f>IF('G2 MT Reading Scoresheet'!T71&lt;&gt;"",'G2 MT Reading Scoresheet'!T71,"")</f>
        <v/>
      </c>
      <c r="U71" s="87">
        <f>IF('G2 MT Reading Scoresheet'!U71&lt;&gt;"",'G2 MT Reading Scoresheet'!U71,"")</f>
        <v/>
      </c>
      <c r="V71" s="277" t="n"/>
      <c r="Y71" s="221">
        <f>IF(C71&lt;&gt;"",R71/6,"")</f>
        <v/>
      </c>
    </row>
    <row r="72" ht="14.4" customHeight="1" s="346">
      <c r="A72" s="5">
        <f>A71+1</f>
        <v/>
      </c>
      <c r="B72" s="118">
        <f>IF('G2 MT Reading Scoresheet'!B72&lt;&gt;"",'G2 MT Reading Scoresheet'!B72,"")</f>
        <v/>
      </c>
      <c r="C72" s="133">
        <f>IF('G2 MT Reading Scoresheet'!C72&lt;&gt;"",'G2 MT Reading Scoresheet'!C72,"")</f>
        <v/>
      </c>
      <c r="D72" s="134">
        <f>IF('G2 MT Reading Scoresheet'!D72&lt;&gt;"",'G2 MT Reading Scoresheet'!D72,"")</f>
        <v/>
      </c>
      <c r="E72" s="135">
        <f>IF('G2 MT Reading Scoresheet'!E72&lt;&gt;"",'G2 MT Reading Scoresheet'!E72,"")</f>
        <v/>
      </c>
      <c r="F72" s="272">
        <f>IF('G2 MT Reading Scoresheet'!F72&lt;&gt;"",'G2 MT Reading Scoresheet'!F72,"")</f>
        <v/>
      </c>
      <c r="G72" s="269">
        <f>IF('G2 MT Reading Scoresheet'!G72&lt;&gt;"",'G2 MT Reading Scoresheet'!G72,"")</f>
        <v/>
      </c>
      <c r="H72" s="81">
        <f>IF('G2 MT Reading Scoresheet'!H72&lt;&gt;"",'G2 MT Reading Scoresheet'!H72,"")</f>
        <v/>
      </c>
      <c r="I72" s="81">
        <f>IF('G2 MT Reading Scoresheet'!I72&lt;&gt;"",'G2 MT Reading Scoresheet'!I72,"")</f>
        <v/>
      </c>
      <c r="J72" s="82">
        <f>IF('G2 MT Reading Scoresheet'!J72&lt;&gt;"",'G2 MT Reading Scoresheet'!J72,"")</f>
        <v/>
      </c>
      <c r="K72" s="270">
        <f>IF('G2 MT Reading Scoresheet'!K72&lt;&gt;"",'G2 MT Reading Scoresheet'!K72,"")</f>
        <v/>
      </c>
      <c r="L72" s="87">
        <f>IF('G2 MT Reading Scoresheet'!L72&lt;&gt;"",'G2 MT Reading Scoresheet'!L72,"")</f>
        <v/>
      </c>
      <c r="M72" s="118">
        <f>IF('G2 MT Reading Scoresheet'!M72&lt;&gt;"",'G2 MT Reading Scoresheet'!M72,"")</f>
        <v/>
      </c>
      <c r="N72" s="81">
        <f>IF('G2 MT Reading Scoresheet'!N72&lt;&gt;"",'G2 MT Reading Scoresheet'!N72,"")</f>
        <v/>
      </c>
      <c r="O72" s="81">
        <f>IF('G2 MT Reading Scoresheet'!O72&lt;&gt;"",'G2 MT Reading Scoresheet'!O72,"")</f>
        <v/>
      </c>
      <c r="P72" s="118">
        <f>IF('G2 MT Reading Scoresheet'!P72&lt;&gt;"",'G2 MT Reading Scoresheet'!P72,"")</f>
        <v/>
      </c>
      <c r="Q72" s="122">
        <f>IF('G2 MT Reading Scoresheet'!Q72&lt;&gt;"",'G2 MT Reading Scoresheet'!Q72,"")</f>
        <v/>
      </c>
      <c r="R72" s="81">
        <f>IF('G2 MT Reading Scoresheet'!R72&lt;&gt;"",'G2 MT Reading Scoresheet'!R72,"")</f>
        <v/>
      </c>
      <c r="S72" s="81">
        <f>IF('G2 MT Reading Scoresheet'!S72&lt;&gt;"",'G2 MT Reading Scoresheet'!S72,"")</f>
        <v/>
      </c>
      <c r="T72" s="82">
        <f>IF('G2 MT Reading Scoresheet'!T72&lt;&gt;"",'G2 MT Reading Scoresheet'!T72,"")</f>
        <v/>
      </c>
      <c r="U72" s="87">
        <f>IF('G2 MT Reading Scoresheet'!U72&lt;&gt;"",'G2 MT Reading Scoresheet'!U72,"")</f>
        <v/>
      </c>
      <c r="V72" s="271" t="n"/>
      <c r="Y72" s="221">
        <f>IF(C72&lt;&gt;"",R72/6,"")</f>
        <v/>
      </c>
    </row>
    <row r="73" ht="14.4" customHeight="1" s="346">
      <c r="A73" s="4">
        <f>A72+1</f>
        <v/>
      </c>
      <c r="B73" s="118">
        <f>IF('G2 MT Reading Scoresheet'!B73&lt;&gt;"",'G2 MT Reading Scoresheet'!B73,"")</f>
        <v/>
      </c>
      <c r="C73" s="133">
        <f>IF('G2 MT Reading Scoresheet'!C73&lt;&gt;"",'G2 MT Reading Scoresheet'!C73,"")</f>
        <v/>
      </c>
      <c r="D73" s="134">
        <f>IF('G2 MT Reading Scoresheet'!D73&lt;&gt;"",'G2 MT Reading Scoresheet'!D73,"")</f>
        <v/>
      </c>
      <c r="E73" s="135">
        <f>IF('G2 MT Reading Scoresheet'!E73&lt;&gt;"",'G2 MT Reading Scoresheet'!E73,"")</f>
        <v/>
      </c>
      <c r="F73" s="268">
        <f>IF('G2 MT Reading Scoresheet'!F73&lt;&gt;"",'G2 MT Reading Scoresheet'!F73,"")</f>
        <v/>
      </c>
      <c r="G73" s="262">
        <f>IF('G2 MT Reading Scoresheet'!G73&lt;&gt;"",'G2 MT Reading Scoresheet'!G73,"")</f>
        <v/>
      </c>
      <c r="H73" s="273">
        <f>IF('G2 MT Reading Scoresheet'!H73&lt;&gt;"",'G2 MT Reading Scoresheet'!H73,"")</f>
        <v/>
      </c>
      <c r="I73" s="81">
        <f>IF('G2 MT Reading Scoresheet'!I73&lt;&gt;"",'G2 MT Reading Scoresheet'!I73,"")</f>
        <v/>
      </c>
      <c r="J73" s="82">
        <f>IF('G2 MT Reading Scoresheet'!J73&lt;&gt;"",'G2 MT Reading Scoresheet'!J73,"")</f>
        <v/>
      </c>
      <c r="K73" s="274">
        <f>IF('G2 MT Reading Scoresheet'!K73&lt;&gt;"",'G2 MT Reading Scoresheet'!K73,"")</f>
        <v/>
      </c>
      <c r="L73" s="275">
        <f>IF('G2 MT Reading Scoresheet'!L73&lt;&gt;"",'G2 MT Reading Scoresheet'!L73,"")</f>
        <v/>
      </c>
      <c r="M73" s="118">
        <f>IF('G2 MT Reading Scoresheet'!M73&lt;&gt;"",'G2 MT Reading Scoresheet'!M73,"")</f>
        <v/>
      </c>
      <c r="N73" s="273">
        <f>IF('G2 MT Reading Scoresheet'!N73&lt;&gt;"",'G2 MT Reading Scoresheet'!N73,"")</f>
        <v/>
      </c>
      <c r="O73" s="273">
        <f>IF('G2 MT Reading Scoresheet'!O73&lt;&gt;"",'G2 MT Reading Scoresheet'!O73,"")</f>
        <v/>
      </c>
      <c r="P73" s="118">
        <f>IF('G2 MT Reading Scoresheet'!P73&lt;&gt;"",'G2 MT Reading Scoresheet'!P73,"")</f>
        <v/>
      </c>
      <c r="Q73" s="122">
        <f>IF('G2 MT Reading Scoresheet'!Q73&lt;&gt;"",'G2 MT Reading Scoresheet'!Q73,"")</f>
        <v/>
      </c>
      <c r="R73" s="273">
        <f>IF('G2 MT Reading Scoresheet'!R73&lt;&gt;"",'G2 MT Reading Scoresheet'!R73,"")</f>
        <v/>
      </c>
      <c r="S73" s="273">
        <f>IF('G2 MT Reading Scoresheet'!S73&lt;&gt;"",'G2 MT Reading Scoresheet'!S73,"")</f>
        <v/>
      </c>
      <c r="T73" s="276">
        <f>IF('G2 MT Reading Scoresheet'!T73&lt;&gt;"",'G2 MT Reading Scoresheet'!T73,"")</f>
        <v/>
      </c>
      <c r="U73" s="87">
        <f>IF('G2 MT Reading Scoresheet'!U73&lt;&gt;"",'G2 MT Reading Scoresheet'!U73,"")</f>
        <v/>
      </c>
      <c r="V73" s="277" t="n"/>
      <c r="Y73" s="221">
        <f>IF(C73&lt;&gt;"",R73/6,"")</f>
        <v/>
      </c>
    </row>
    <row r="74" ht="14.4" customHeight="1" s="346">
      <c r="A74" s="5">
        <f>A73+1</f>
        <v/>
      </c>
      <c r="B74" s="118">
        <f>IF('G2 MT Reading Scoresheet'!B74&lt;&gt;"",'G2 MT Reading Scoresheet'!B74,"")</f>
        <v/>
      </c>
      <c r="C74" s="133">
        <f>IF('G2 MT Reading Scoresheet'!C74&lt;&gt;"",'G2 MT Reading Scoresheet'!C74,"")</f>
        <v/>
      </c>
      <c r="D74" s="134">
        <f>IF('G2 MT Reading Scoresheet'!D74&lt;&gt;"",'G2 MT Reading Scoresheet'!D74,"")</f>
        <v/>
      </c>
      <c r="E74" s="135">
        <f>IF('G2 MT Reading Scoresheet'!E74&lt;&gt;"",'G2 MT Reading Scoresheet'!E74,"")</f>
        <v/>
      </c>
      <c r="F74" s="272">
        <f>IF('G2 MT Reading Scoresheet'!F74&lt;&gt;"",'G2 MT Reading Scoresheet'!F74,"")</f>
        <v/>
      </c>
      <c r="G74" s="269">
        <f>IF('G2 MT Reading Scoresheet'!G74&lt;&gt;"",'G2 MT Reading Scoresheet'!G74,"")</f>
        <v/>
      </c>
      <c r="H74" s="81">
        <f>IF('G2 MT Reading Scoresheet'!H74&lt;&gt;"",'G2 MT Reading Scoresheet'!H74,"")</f>
        <v/>
      </c>
      <c r="I74" s="81">
        <f>IF('G2 MT Reading Scoresheet'!I74&lt;&gt;"",'G2 MT Reading Scoresheet'!I74,"")</f>
        <v/>
      </c>
      <c r="J74" s="82">
        <f>IF('G2 MT Reading Scoresheet'!J74&lt;&gt;"",'G2 MT Reading Scoresheet'!J74,"")</f>
        <v/>
      </c>
      <c r="K74" s="270">
        <f>IF('G2 MT Reading Scoresheet'!K74&lt;&gt;"",'G2 MT Reading Scoresheet'!K74,"")</f>
        <v/>
      </c>
      <c r="L74" s="87">
        <f>IF('G2 MT Reading Scoresheet'!L74&lt;&gt;"",'G2 MT Reading Scoresheet'!L74,"")</f>
        <v/>
      </c>
      <c r="M74" s="118">
        <f>IF('G2 MT Reading Scoresheet'!M74&lt;&gt;"",'G2 MT Reading Scoresheet'!M74,"")</f>
        <v/>
      </c>
      <c r="N74" s="81">
        <f>IF('G2 MT Reading Scoresheet'!N74&lt;&gt;"",'G2 MT Reading Scoresheet'!N74,"")</f>
        <v/>
      </c>
      <c r="O74" s="81">
        <f>IF('G2 MT Reading Scoresheet'!O74&lt;&gt;"",'G2 MT Reading Scoresheet'!O74,"")</f>
        <v/>
      </c>
      <c r="P74" s="118">
        <f>IF('G2 MT Reading Scoresheet'!P74&lt;&gt;"",'G2 MT Reading Scoresheet'!P74,"")</f>
        <v/>
      </c>
      <c r="Q74" s="122">
        <f>IF('G2 MT Reading Scoresheet'!Q74&lt;&gt;"",'G2 MT Reading Scoresheet'!Q74,"")</f>
        <v/>
      </c>
      <c r="R74" s="81">
        <f>IF('G2 MT Reading Scoresheet'!R74&lt;&gt;"",'G2 MT Reading Scoresheet'!R74,"")</f>
        <v/>
      </c>
      <c r="S74" s="81">
        <f>IF('G2 MT Reading Scoresheet'!S74&lt;&gt;"",'G2 MT Reading Scoresheet'!S74,"")</f>
        <v/>
      </c>
      <c r="T74" s="82">
        <f>IF('G2 MT Reading Scoresheet'!T74&lt;&gt;"",'G2 MT Reading Scoresheet'!T74,"")</f>
        <v/>
      </c>
      <c r="U74" s="87">
        <f>IF('G2 MT Reading Scoresheet'!U74&lt;&gt;"",'G2 MT Reading Scoresheet'!U74,"")</f>
        <v/>
      </c>
      <c r="V74" s="271" t="n"/>
      <c r="Y74" s="221">
        <f>IF(C74&lt;&gt;"",R74/6,"")</f>
        <v/>
      </c>
    </row>
    <row r="75" ht="14.4" customHeight="1" s="346">
      <c r="A75" s="4">
        <f>A74+1</f>
        <v/>
      </c>
      <c r="B75" s="118">
        <f>IF('G2 MT Reading Scoresheet'!B75&lt;&gt;"",'G2 MT Reading Scoresheet'!B75,"")</f>
        <v/>
      </c>
      <c r="C75" s="133">
        <f>IF('G2 MT Reading Scoresheet'!C75&lt;&gt;"",'G2 MT Reading Scoresheet'!C75,"")</f>
        <v/>
      </c>
      <c r="D75" s="134">
        <f>IF('G2 MT Reading Scoresheet'!D75&lt;&gt;"",'G2 MT Reading Scoresheet'!D75,"")</f>
        <v/>
      </c>
      <c r="E75" s="135">
        <f>IF('G2 MT Reading Scoresheet'!E75&lt;&gt;"",'G2 MT Reading Scoresheet'!E75,"")</f>
        <v/>
      </c>
      <c r="F75" s="268">
        <f>IF('G2 MT Reading Scoresheet'!F75&lt;&gt;"",'G2 MT Reading Scoresheet'!F75,"")</f>
        <v/>
      </c>
      <c r="G75" s="262">
        <f>IF('G2 MT Reading Scoresheet'!G75&lt;&gt;"",'G2 MT Reading Scoresheet'!G75,"")</f>
        <v/>
      </c>
      <c r="H75" s="273">
        <f>IF('G2 MT Reading Scoresheet'!H75&lt;&gt;"",'G2 MT Reading Scoresheet'!H75,"")</f>
        <v/>
      </c>
      <c r="I75" s="81">
        <f>IF('G2 MT Reading Scoresheet'!I75&lt;&gt;"",'G2 MT Reading Scoresheet'!I75,"")</f>
        <v/>
      </c>
      <c r="J75" s="82">
        <f>IF('G2 MT Reading Scoresheet'!J75&lt;&gt;"",'G2 MT Reading Scoresheet'!J75,"")</f>
        <v/>
      </c>
      <c r="K75" s="274">
        <f>IF('G2 MT Reading Scoresheet'!K75&lt;&gt;"",'G2 MT Reading Scoresheet'!K75,"")</f>
        <v/>
      </c>
      <c r="L75" s="275">
        <f>IF('G2 MT Reading Scoresheet'!L75&lt;&gt;"",'G2 MT Reading Scoresheet'!L75,"")</f>
        <v/>
      </c>
      <c r="M75" s="118">
        <f>IF('G2 MT Reading Scoresheet'!M75&lt;&gt;"",'G2 MT Reading Scoresheet'!M75,"")</f>
        <v/>
      </c>
      <c r="N75" s="273">
        <f>IF('G2 MT Reading Scoresheet'!N75&lt;&gt;"",'G2 MT Reading Scoresheet'!N75,"")</f>
        <v/>
      </c>
      <c r="O75" s="273">
        <f>IF('G2 MT Reading Scoresheet'!O75&lt;&gt;"",'G2 MT Reading Scoresheet'!O75,"")</f>
        <v/>
      </c>
      <c r="P75" s="118">
        <f>IF('G2 MT Reading Scoresheet'!P75&lt;&gt;"",'G2 MT Reading Scoresheet'!P75,"")</f>
        <v/>
      </c>
      <c r="Q75" s="122">
        <f>IF('G2 MT Reading Scoresheet'!Q75&lt;&gt;"",'G2 MT Reading Scoresheet'!Q75,"")</f>
        <v/>
      </c>
      <c r="R75" s="273">
        <f>IF('G2 MT Reading Scoresheet'!R75&lt;&gt;"",'G2 MT Reading Scoresheet'!R75,"")</f>
        <v/>
      </c>
      <c r="S75" s="273">
        <f>IF('G2 MT Reading Scoresheet'!S75&lt;&gt;"",'G2 MT Reading Scoresheet'!S75,"")</f>
        <v/>
      </c>
      <c r="T75" s="276">
        <f>IF('G2 MT Reading Scoresheet'!T75&lt;&gt;"",'G2 MT Reading Scoresheet'!T75,"")</f>
        <v/>
      </c>
      <c r="U75" s="87">
        <f>IF('G2 MT Reading Scoresheet'!U75&lt;&gt;"",'G2 MT Reading Scoresheet'!U75,"")</f>
        <v/>
      </c>
      <c r="V75" s="277" t="n"/>
      <c r="Y75" s="221">
        <f>IF(C75&lt;&gt;"",R75/6,"")</f>
        <v/>
      </c>
    </row>
    <row r="76" ht="14.4" customHeight="1" s="346">
      <c r="A76" s="5">
        <f>A75+1</f>
        <v/>
      </c>
      <c r="B76" s="118">
        <f>IF('G2 MT Reading Scoresheet'!B76&lt;&gt;"",'G2 MT Reading Scoresheet'!B76,"")</f>
        <v/>
      </c>
      <c r="C76" s="133">
        <f>IF('G2 MT Reading Scoresheet'!C76&lt;&gt;"",'G2 MT Reading Scoresheet'!C76,"")</f>
        <v/>
      </c>
      <c r="D76" s="134">
        <f>IF('G2 MT Reading Scoresheet'!D76&lt;&gt;"",'G2 MT Reading Scoresheet'!D76,"")</f>
        <v/>
      </c>
      <c r="E76" s="135">
        <f>IF('G2 MT Reading Scoresheet'!E76&lt;&gt;"",'G2 MT Reading Scoresheet'!E76,"")</f>
        <v/>
      </c>
      <c r="F76" s="272">
        <f>IF('G2 MT Reading Scoresheet'!F76&lt;&gt;"",'G2 MT Reading Scoresheet'!F76,"")</f>
        <v/>
      </c>
      <c r="G76" s="269">
        <f>IF('G2 MT Reading Scoresheet'!G76&lt;&gt;"",'G2 MT Reading Scoresheet'!G76,"")</f>
        <v/>
      </c>
      <c r="H76" s="81">
        <f>IF('G2 MT Reading Scoresheet'!H76&lt;&gt;"",'G2 MT Reading Scoresheet'!H76,"")</f>
        <v/>
      </c>
      <c r="I76" s="81">
        <f>IF('G2 MT Reading Scoresheet'!I76&lt;&gt;"",'G2 MT Reading Scoresheet'!I76,"")</f>
        <v/>
      </c>
      <c r="J76" s="82">
        <f>IF('G2 MT Reading Scoresheet'!J76&lt;&gt;"",'G2 MT Reading Scoresheet'!J76,"")</f>
        <v/>
      </c>
      <c r="K76" s="270">
        <f>IF('G2 MT Reading Scoresheet'!K76&lt;&gt;"",'G2 MT Reading Scoresheet'!K76,"")</f>
        <v/>
      </c>
      <c r="L76" s="87">
        <f>IF('G2 MT Reading Scoresheet'!L76&lt;&gt;"",'G2 MT Reading Scoresheet'!L76,"")</f>
        <v/>
      </c>
      <c r="M76" s="118">
        <f>IF('G2 MT Reading Scoresheet'!M76&lt;&gt;"",'G2 MT Reading Scoresheet'!M76,"")</f>
        <v/>
      </c>
      <c r="N76" s="81">
        <f>IF('G2 MT Reading Scoresheet'!N76&lt;&gt;"",'G2 MT Reading Scoresheet'!N76,"")</f>
        <v/>
      </c>
      <c r="O76" s="81">
        <f>IF('G2 MT Reading Scoresheet'!O76&lt;&gt;"",'G2 MT Reading Scoresheet'!O76,"")</f>
        <v/>
      </c>
      <c r="P76" s="118">
        <f>IF('G2 MT Reading Scoresheet'!P76&lt;&gt;"",'G2 MT Reading Scoresheet'!P76,"")</f>
        <v/>
      </c>
      <c r="Q76" s="122">
        <f>IF('G2 MT Reading Scoresheet'!Q76&lt;&gt;"",'G2 MT Reading Scoresheet'!Q76,"")</f>
        <v/>
      </c>
      <c r="R76" s="81">
        <f>IF('G2 MT Reading Scoresheet'!R76&lt;&gt;"",'G2 MT Reading Scoresheet'!R76,"")</f>
        <v/>
      </c>
      <c r="S76" s="81">
        <f>IF('G2 MT Reading Scoresheet'!S76&lt;&gt;"",'G2 MT Reading Scoresheet'!S76,"")</f>
        <v/>
      </c>
      <c r="T76" s="82">
        <f>IF('G2 MT Reading Scoresheet'!T76&lt;&gt;"",'G2 MT Reading Scoresheet'!T76,"")</f>
        <v/>
      </c>
      <c r="U76" s="87">
        <f>IF('G2 MT Reading Scoresheet'!U76&lt;&gt;"",'G2 MT Reading Scoresheet'!U76,"")</f>
        <v/>
      </c>
      <c r="V76" s="271" t="n"/>
      <c r="Y76" s="221">
        <f>IF(C76&lt;&gt;"",R76/6,"")</f>
        <v/>
      </c>
    </row>
    <row r="77" ht="14.4" customHeight="1" s="346">
      <c r="A77" s="4">
        <f>A76+1</f>
        <v/>
      </c>
      <c r="B77" s="118">
        <f>IF('G2 MT Reading Scoresheet'!B77&lt;&gt;"",'G2 MT Reading Scoresheet'!B77,"")</f>
        <v/>
      </c>
      <c r="C77" s="133">
        <f>IF('G2 MT Reading Scoresheet'!C77&lt;&gt;"",'G2 MT Reading Scoresheet'!C77,"")</f>
        <v/>
      </c>
      <c r="D77" s="134">
        <f>IF('G2 MT Reading Scoresheet'!D77&lt;&gt;"",'G2 MT Reading Scoresheet'!D77,"")</f>
        <v/>
      </c>
      <c r="E77" s="135">
        <f>IF('G2 MT Reading Scoresheet'!E77&lt;&gt;"",'G2 MT Reading Scoresheet'!E77,"")</f>
        <v/>
      </c>
      <c r="F77" s="268">
        <f>IF('G2 MT Reading Scoresheet'!F77&lt;&gt;"",'G2 MT Reading Scoresheet'!F77,"")</f>
        <v/>
      </c>
      <c r="G77" s="262">
        <f>IF('G2 MT Reading Scoresheet'!G77&lt;&gt;"",'G2 MT Reading Scoresheet'!G77,"")</f>
        <v/>
      </c>
      <c r="H77" s="273">
        <f>IF('G2 MT Reading Scoresheet'!H77&lt;&gt;"",'G2 MT Reading Scoresheet'!H77,"")</f>
        <v/>
      </c>
      <c r="I77" s="81">
        <f>IF('G2 MT Reading Scoresheet'!I77&lt;&gt;"",'G2 MT Reading Scoresheet'!I77,"")</f>
        <v/>
      </c>
      <c r="J77" s="82">
        <f>IF('G2 MT Reading Scoresheet'!J77&lt;&gt;"",'G2 MT Reading Scoresheet'!J77,"")</f>
        <v/>
      </c>
      <c r="K77" s="274">
        <f>IF('G2 MT Reading Scoresheet'!K77&lt;&gt;"",'G2 MT Reading Scoresheet'!K77,"")</f>
        <v/>
      </c>
      <c r="L77" s="275">
        <f>IF('G2 MT Reading Scoresheet'!L77&lt;&gt;"",'G2 MT Reading Scoresheet'!L77,"")</f>
        <v/>
      </c>
      <c r="M77" s="118">
        <f>IF('G2 MT Reading Scoresheet'!M77&lt;&gt;"",'G2 MT Reading Scoresheet'!M77,"")</f>
        <v/>
      </c>
      <c r="N77" s="273">
        <f>IF('G2 MT Reading Scoresheet'!N77&lt;&gt;"",'G2 MT Reading Scoresheet'!N77,"")</f>
        <v/>
      </c>
      <c r="O77" s="273">
        <f>IF('G2 MT Reading Scoresheet'!O77&lt;&gt;"",'G2 MT Reading Scoresheet'!O77,"")</f>
        <v/>
      </c>
      <c r="P77" s="118">
        <f>IF('G2 MT Reading Scoresheet'!P77&lt;&gt;"",'G2 MT Reading Scoresheet'!P77,"")</f>
        <v/>
      </c>
      <c r="Q77" s="122">
        <f>IF('G2 MT Reading Scoresheet'!Q77&lt;&gt;"",'G2 MT Reading Scoresheet'!Q77,"")</f>
        <v/>
      </c>
      <c r="R77" s="273">
        <f>IF('G2 MT Reading Scoresheet'!R77&lt;&gt;"",'G2 MT Reading Scoresheet'!R77,"")</f>
        <v/>
      </c>
      <c r="S77" s="273">
        <f>IF('G2 MT Reading Scoresheet'!S77&lt;&gt;"",'G2 MT Reading Scoresheet'!S77,"")</f>
        <v/>
      </c>
      <c r="T77" s="276">
        <f>IF('G2 MT Reading Scoresheet'!T77&lt;&gt;"",'G2 MT Reading Scoresheet'!T77,"")</f>
        <v/>
      </c>
      <c r="U77" s="87">
        <f>IF('G2 MT Reading Scoresheet'!U77&lt;&gt;"",'G2 MT Reading Scoresheet'!U77,"")</f>
        <v/>
      </c>
      <c r="V77" s="277" t="n"/>
      <c r="Y77" s="221">
        <f>IF(C77&lt;&gt;"",R77/6,"")</f>
        <v/>
      </c>
    </row>
    <row r="78" ht="14.4" customHeight="1" s="346">
      <c r="A78" s="5">
        <f>A77+1</f>
        <v/>
      </c>
      <c r="B78" s="118">
        <f>IF('G2 MT Reading Scoresheet'!B78&lt;&gt;"",'G2 MT Reading Scoresheet'!B78,"")</f>
        <v/>
      </c>
      <c r="C78" s="133">
        <f>IF('G2 MT Reading Scoresheet'!C78&lt;&gt;"",'G2 MT Reading Scoresheet'!C78,"")</f>
        <v/>
      </c>
      <c r="D78" s="134">
        <f>IF('G2 MT Reading Scoresheet'!D78&lt;&gt;"",'G2 MT Reading Scoresheet'!D78,"")</f>
        <v/>
      </c>
      <c r="E78" s="135">
        <f>IF('G2 MT Reading Scoresheet'!E78&lt;&gt;"",'G2 MT Reading Scoresheet'!E78,"")</f>
        <v/>
      </c>
      <c r="F78" s="272">
        <f>IF('G2 MT Reading Scoresheet'!F78&lt;&gt;"",'G2 MT Reading Scoresheet'!F78,"")</f>
        <v/>
      </c>
      <c r="G78" s="269">
        <f>IF('G2 MT Reading Scoresheet'!G78&lt;&gt;"",'G2 MT Reading Scoresheet'!G78,"")</f>
        <v/>
      </c>
      <c r="H78" s="81">
        <f>IF('G2 MT Reading Scoresheet'!H78&lt;&gt;"",'G2 MT Reading Scoresheet'!H78,"")</f>
        <v/>
      </c>
      <c r="I78" s="81">
        <f>IF('G2 MT Reading Scoresheet'!I78&lt;&gt;"",'G2 MT Reading Scoresheet'!I78,"")</f>
        <v/>
      </c>
      <c r="J78" s="82">
        <f>IF('G2 MT Reading Scoresheet'!J78&lt;&gt;"",'G2 MT Reading Scoresheet'!J78,"")</f>
        <v/>
      </c>
      <c r="K78" s="270">
        <f>IF('G2 MT Reading Scoresheet'!K78&lt;&gt;"",'G2 MT Reading Scoresheet'!K78,"")</f>
        <v/>
      </c>
      <c r="L78" s="87">
        <f>IF('G2 MT Reading Scoresheet'!L78&lt;&gt;"",'G2 MT Reading Scoresheet'!L78,"")</f>
        <v/>
      </c>
      <c r="M78" s="118">
        <f>IF('G2 MT Reading Scoresheet'!M78&lt;&gt;"",'G2 MT Reading Scoresheet'!M78,"")</f>
        <v/>
      </c>
      <c r="N78" s="81">
        <f>IF('G2 MT Reading Scoresheet'!N78&lt;&gt;"",'G2 MT Reading Scoresheet'!N78,"")</f>
        <v/>
      </c>
      <c r="O78" s="81">
        <f>IF('G2 MT Reading Scoresheet'!O78&lt;&gt;"",'G2 MT Reading Scoresheet'!O78,"")</f>
        <v/>
      </c>
      <c r="P78" s="118">
        <f>IF('G2 MT Reading Scoresheet'!P78&lt;&gt;"",'G2 MT Reading Scoresheet'!P78,"")</f>
        <v/>
      </c>
      <c r="Q78" s="122">
        <f>IF('G2 MT Reading Scoresheet'!Q78&lt;&gt;"",'G2 MT Reading Scoresheet'!Q78,"")</f>
        <v/>
      </c>
      <c r="R78" s="81">
        <f>IF('G2 MT Reading Scoresheet'!R78&lt;&gt;"",'G2 MT Reading Scoresheet'!R78,"")</f>
        <v/>
      </c>
      <c r="S78" s="81">
        <f>IF('G2 MT Reading Scoresheet'!S78&lt;&gt;"",'G2 MT Reading Scoresheet'!S78,"")</f>
        <v/>
      </c>
      <c r="T78" s="82">
        <f>IF('G2 MT Reading Scoresheet'!T78&lt;&gt;"",'G2 MT Reading Scoresheet'!T78,"")</f>
        <v/>
      </c>
      <c r="U78" s="87">
        <f>IF('G2 MT Reading Scoresheet'!U78&lt;&gt;"",'G2 MT Reading Scoresheet'!U78,"")</f>
        <v/>
      </c>
      <c r="V78" s="271" t="n"/>
      <c r="Y78" s="221">
        <f>IF(C78&lt;&gt;"",R78/6,"")</f>
        <v/>
      </c>
    </row>
    <row r="79" ht="14.4" customHeight="1" s="346">
      <c r="A79" s="4">
        <f>A78+1</f>
        <v/>
      </c>
      <c r="B79" s="118">
        <f>IF('G2 MT Reading Scoresheet'!B79&lt;&gt;"",'G2 MT Reading Scoresheet'!B79,"")</f>
        <v/>
      </c>
      <c r="C79" s="133">
        <f>IF('G2 MT Reading Scoresheet'!C79&lt;&gt;"",'G2 MT Reading Scoresheet'!C79,"")</f>
        <v/>
      </c>
      <c r="D79" s="134">
        <f>IF('G2 MT Reading Scoresheet'!D79&lt;&gt;"",'G2 MT Reading Scoresheet'!D79,"")</f>
        <v/>
      </c>
      <c r="E79" s="135">
        <f>IF('G2 MT Reading Scoresheet'!E79&lt;&gt;"",'G2 MT Reading Scoresheet'!E79,"")</f>
        <v/>
      </c>
      <c r="F79" s="268">
        <f>IF('G2 MT Reading Scoresheet'!F79&lt;&gt;"",'G2 MT Reading Scoresheet'!F79,"")</f>
        <v/>
      </c>
      <c r="G79" s="262">
        <f>IF('G2 MT Reading Scoresheet'!G79&lt;&gt;"",'G2 MT Reading Scoresheet'!G79,"")</f>
        <v/>
      </c>
      <c r="H79" s="273">
        <f>IF('G2 MT Reading Scoresheet'!H79&lt;&gt;"",'G2 MT Reading Scoresheet'!H79,"")</f>
        <v/>
      </c>
      <c r="I79" s="81">
        <f>IF('G2 MT Reading Scoresheet'!I79&lt;&gt;"",'G2 MT Reading Scoresheet'!I79,"")</f>
        <v/>
      </c>
      <c r="J79" s="82">
        <f>IF('G2 MT Reading Scoresheet'!J79&lt;&gt;"",'G2 MT Reading Scoresheet'!J79,"")</f>
        <v/>
      </c>
      <c r="K79" s="274">
        <f>IF('G2 MT Reading Scoresheet'!K79&lt;&gt;"",'G2 MT Reading Scoresheet'!K79,"")</f>
        <v/>
      </c>
      <c r="L79" s="275">
        <f>IF('G2 MT Reading Scoresheet'!L79&lt;&gt;"",'G2 MT Reading Scoresheet'!L79,"")</f>
        <v/>
      </c>
      <c r="M79" s="118">
        <f>IF('G2 MT Reading Scoresheet'!M79&lt;&gt;"",'G2 MT Reading Scoresheet'!M79,"")</f>
        <v/>
      </c>
      <c r="N79" s="273">
        <f>IF('G2 MT Reading Scoresheet'!N79&lt;&gt;"",'G2 MT Reading Scoresheet'!N79,"")</f>
        <v/>
      </c>
      <c r="O79" s="273">
        <f>IF('G2 MT Reading Scoresheet'!O79&lt;&gt;"",'G2 MT Reading Scoresheet'!O79,"")</f>
        <v/>
      </c>
      <c r="P79" s="118">
        <f>IF('G2 MT Reading Scoresheet'!P79&lt;&gt;"",'G2 MT Reading Scoresheet'!P79,"")</f>
        <v/>
      </c>
      <c r="Q79" s="122">
        <f>IF('G2 MT Reading Scoresheet'!Q79&lt;&gt;"",'G2 MT Reading Scoresheet'!Q79,"")</f>
        <v/>
      </c>
      <c r="R79" s="273">
        <f>IF('G2 MT Reading Scoresheet'!R79&lt;&gt;"",'G2 MT Reading Scoresheet'!R79,"")</f>
        <v/>
      </c>
      <c r="S79" s="273">
        <f>IF('G2 MT Reading Scoresheet'!S79&lt;&gt;"",'G2 MT Reading Scoresheet'!S79,"")</f>
        <v/>
      </c>
      <c r="T79" s="276">
        <f>IF('G2 MT Reading Scoresheet'!T79&lt;&gt;"",'G2 MT Reading Scoresheet'!T79,"")</f>
        <v/>
      </c>
      <c r="U79" s="87">
        <f>IF('G2 MT Reading Scoresheet'!U79&lt;&gt;"",'G2 MT Reading Scoresheet'!U79,"")</f>
        <v/>
      </c>
      <c r="V79" s="277" t="n"/>
      <c r="Y79" s="221">
        <f>IF(C79&lt;&gt;"",R79/6,"")</f>
        <v/>
      </c>
    </row>
    <row r="80" ht="14.4" customHeight="1" s="346">
      <c r="A80" s="5">
        <f>A79+1</f>
        <v/>
      </c>
      <c r="B80" s="118">
        <f>IF('G2 MT Reading Scoresheet'!B80&lt;&gt;"",'G2 MT Reading Scoresheet'!B80,"")</f>
        <v/>
      </c>
      <c r="C80" s="133">
        <f>IF('G2 MT Reading Scoresheet'!C80&lt;&gt;"",'G2 MT Reading Scoresheet'!C80,"")</f>
        <v/>
      </c>
      <c r="D80" s="134">
        <f>IF('G2 MT Reading Scoresheet'!D80&lt;&gt;"",'G2 MT Reading Scoresheet'!D80,"")</f>
        <v/>
      </c>
      <c r="E80" s="135">
        <f>IF('G2 MT Reading Scoresheet'!E80&lt;&gt;"",'G2 MT Reading Scoresheet'!E80,"")</f>
        <v/>
      </c>
      <c r="F80" s="272">
        <f>IF('G2 MT Reading Scoresheet'!F80&lt;&gt;"",'G2 MT Reading Scoresheet'!F80,"")</f>
        <v/>
      </c>
      <c r="G80" s="269">
        <f>IF('G2 MT Reading Scoresheet'!G80&lt;&gt;"",'G2 MT Reading Scoresheet'!G80,"")</f>
        <v/>
      </c>
      <c r="H80" s="81">
        <f>IF('G2 MT Reading Scoresheet'!H80&lt;&gt;"",'G2 MT Reading Scoresheet'!H80,"")</f>
        <v/>
      </c>
      <c r="I80" s="81">
        <f>IF('G2 MT Reading Scoresheet'!I80&lt;&gt;"",'G2 MT Reading Scoresheet'!I80,"")</f>
        <v/>
      </c>
      <c r="J80" s="82">
        <f>IF('G2 MT Reading Scoresheet'!J80&lt;&gt;"",'G2 MT Reading Scoresheet'!J80,"")</f>
        <v/>
      </c>
      <c r="K80" s="270">
        <f>IF('G2 MT Reading Scoresheet'!K80&lt;&gt;"",'G2 MT Reading Scoresheet'!K80,"")</f>
        <v/>
      </c>
      <c r="L80" s="87">
        <f>IF('G2 MT Reading Scoresheet'!L80&lt;&gt;"",'G2 MT Reading Scoresheet'!L80,"")</f>
        <v/>
      </c>
      <c r="M80" s="118">
        <f>IF('G2 MT Reading Scoresheet'!M80&lt;&gt;"",'G2 MT Reading Scoresheet'!M80,"")</f>
        <v/>
      </c>
      <c r="N80" s="81">
        <f>IF('G2 MT Reading Scoresheet'!N80&lt;&gt;"",'G2 MT Reading Scoresheet'!N80,"")</f>
        <v/>
      </c>
      <c r="O80" s="81">
        <f>IF('G2 MT Reading Scoresheet'!O80&lt;&gt;"",'G2 MT Reading Scoresheet'!O80,"")</f>
        <v/>
      </c>
      <c r="P80" s="118">
        <f>IF('G2 MT Reading Scoresheet'!P80&lt;&gt;"",'G2 MT Reading Scoresheet'!P80,"")</f>
        <v/>
      </c>
      <c r="Q80" s="122">
        <f>IF('G2 MT Reading Scoresheet'!Q80&lt;&gt;"",'G2 MT Reading Scoresheet'!Q80,"")</f>
        <v/>
      </c>
      <c r="R80" s="81">
        <f>IF('G2 MT Reading Scoresheet'!R80&lt;&gt;"",'G2 MT Reading Scoresheet'!R80,"")</f>
        <v/>
      </c>
      <c r="S80" s="81">
        <f>IF('G2 MT Reading Scoresheet'!S80&lt;&gt;"",'G2 MT Reading Scoresheet'!S80,"")</f>
        <v/>
      </c>
      <c r="T80" s="82">
        <f>IF('G2 MT Reading Scoresheet'!T80&lt;&gt;"",'G2 MT Reading Scoresheet'!T80,"")</f>
        <v/>
      </c>
      <c r="U80" s="87">
        <f>IF('G2 MT Reading Scoresheet'!U80&lt;&gt;"",'G2 MT Reading Scoresheet'!U80,"")</f>
        <v/>
      </c>
      <c r="V80" s="271" t="n"/>
      <c r="Y80" s="221">
        <f>IF(C80&lt;&gt;"",R80/6,"")</f>
        <v/>
      </c>
    </row>
    <row r="81" ht="14.4" customHeight="1" s="346">
      <c r="A81" s="4">
        <f>A80+1</f>
        <v/>
      </c>
      <c r="B81" s="118">
        <f>IF('G2 MT Reading Scoresheet'!B81&lt;&gt;"",'G2 MT Reading Scoresheet'!B81,"")</f>
        <v/>
      </c>
      <c r="C81" s="133">
        <f>IF('G2 MT Reading Scoresheet'!C81&lt;&gt;"",'G2 MT Reading Scoresheet'!C81,"")</f>
        <v/>
      </c>
      <c r="D81" s="134">
        <f>IF('G2 MT Reading Scoresheet'!D81&lt;&gt;"",'G2 MT Reading Scoresheet'!D81,"")</f>
        <v/>
      </c>
      <c r="E81" s="135">
        <f>IF('G2 MT Reading Scoresheet'!E81&lt;&gt;"",'G2 MT Reading Scoresheet'!E81,"")</f>
        <v/>
      </c>
      <c r="F81" s="268">
        <f>IF('G2 MT Reading Scoresheet'!F81&lt;&gt;"",'G2 MT Reading Scoresheet'!F81,"")</f>
        <v/>
      </c>
      <c r="G81" s="262">
        <f>IF('G2 MT Reading Scoresheet'!G81&lt;&gt;"",'G2 MT Reading Scoresheet'!G81,"")</f>
        <v/>
      </c>
      <c r="H81" s="273">
        <f>IF('G2 MT Reading Scoresheet'!H81&lt;&gt;"",'G2 MT Reading Scoresheet'!H81,"")</f>
        <v/>
      </c>
      <c r="I81" s="81">
        <f>IF('G2 MT Reading Scoresheet'!I81&lt;&gt;"",'G2 MT Reading Scoresheet'!I81,"")</f>
        <v/>
      </c>
      <c r="J81" s="82">
        <f>IF('G2 MT Reading Scoresheet'!J81&lt;&gt;"",'G2 MT Reading Scoresheet'!J81,"")</f>
        <v/>
      </c>
      <c r="K81" s="274">
        <f>IF('G2 MT Reading Scoresheet'!K81&lt;&gt;"",'G2 MT Reading Scoresheet'!K81,"")</f>
        <v/>
      </c>
      <c r="L81" s="275">
        <f>IF('G2 MT Reading Scoresheet'!L81&lt;&gt;"",'G2 MT Reading Scoresheet'!L81,"")</f>
        <v/>
      </c>
      <c r="M81" s="118">
        <f>IF('G2 MT Reading Scoresheet'!M81&lt;&gt;"",'G2 MT Reading Scoresheet'!M81,"")</f>
        <v/>
      </c>
      <c r="N81" s="273">
        <f>IF('G2 MT Reading Scoresheet'!N81&lt;&gt;"",'G2 MT Reading Scoresheet'!N81,"")</f>
        <v/>
      </c>
      <c r="O81" s="273">
        <f>IF('G2 MT Reading Scoresheet'!O81&lt;&gt;"",'G2 MT Reading Scoresheet'!O81,"")</f>
        <v/>
      </c>
      <c r="P81" s="118">
        <f>IF('G2 MT Reading Scoresheet'!P81&lt;&gt;"",'G2 MT Reading Scoresheet'!P81,"")</f>
        <v/>
      </c>
      <c r="Q81" s="122">
        <f>IF('G2 MT Reading Scoresheet'!Q81&lt;&gt;"",'G2 MT Reading Scoresheet'!Q81,"")</f>
        <v/>
      </c>
      <c r="R81" s="273">
        <f>IF('G2 MT Reading Scoresheet'!R81&lt;&gt;"",'G2 MT Reading Scoresheet'!R81,"")</f>
        <v/>
      </c>
      <c r="S81" s="273">
        <f>IF('G2 MT Reading Scoresheet'!S81&lt;&gt;"",'G2 MT Reading Scoresheet'!S81,"")</f>
        <v/>
      </c>
      <c r="T81" s="276">
        <f>IF('G2 MT Reading Scoresheet'!T81&lt;&gt;"",'G2 MT Reading Scoresheet'!T81,"")</f>
        <v/>
      </c>
      <c r="U81" s="87">
        <f>IF('G2 MT Reading Scoresheet'!U81&lt;&gt;"",'G2 MT Reading Scoresheet'!U81,"")</f>
        <v/>
      </c>
      <c r="V81" s="277" t="n"/>
      <c r="Y81" s="221">
        <f>IF(C81&lt;&gt;"",R81/6,"")</f>
        <v/>
      </c>
    </row>
    <row r="82" ht="14.4" customHeight="1" s="346">
      <c r="A82" s="5">
        <f>A81+1</f>
        <v/>
      </c>
      <c r="B82" s="118">
        <f>IF('G2 MT Reading Scoresheet'!B82&lt;&gt;"",'G2 MT Reading Scoresheet'!B82,"")</f>
        <v/>
      </c>
      <c r="C82" s="133">
        <f>IF('G2 MT Reading Scoresheet'!C82&lt;&gt;"",'G2 MT Reading Scoresheet'!C82,"")</f>
        <v/>
      </c>
      <c r="D82" s="134">
        <f>IF('G2 MT Reading Scoresheet'!D82&lt;&gt;"",'G2 MT Reading Scoresheet'!D82,"")</f>
        <v/>
      </c>
      <c r="E82" s="135">
        <f>IF('G2 MT Reading Scoresheet'!E82&lt;&gt;"",'G2 MT Reading Scoresheet'!E82,"")</f>
        <v/>
      </c>
      <c r="F82" s="272">
        <f>IF('G2 MT Reading Scoresheet'!F82&lt;&gt;"",'G2 MT Reading Scoresheet'!F82,"")</f>
        <v/>
      </c>
      <c r="G82" s="269">
        <f>IF('G2 MT Reading Scoresheet'!G82&lt;&gt;"",'G2 MT Reading Scoresheet'!G82,"")</f>
        <v/>
      </c>
      <c r="H82" s="81">
        <f>IF('G2 MT Reading Scoresheet'!H82&lt;&gt;"",'G2 MT Reading Scoresheet'!H82,"")</f>
        <v/>
      </c>
      <c r="I82" s="81">
        <f>IF('G2 MT Reading Scoresheet'!I82&lt;&gt;"",'G2 MT Reading Scoresheet'!I82,"")</f>
        <v/>
      </c>
      <c r="J82" s="82">
        <f>IF('G2 MT Reading Scoresheet'!J82&lt;&gt;"",'G2 MT Reading Scoresheet'!J82,"")</f>
        <v/>
      </c>
      <c r="K82" s="270">
        <f>IF('G2 MT Reading Scoresheet'!K82&lt;&gt;"",'G2 MT Reading Scoresheet'!K82,"")</f>
        <v/>
      </c>
      <c r="L82" s="87">
        <f>IF('G2 MT Reading Scoresheet'!L82&lt;&gt;"",'G2 MT Reading Scoresheet'!L82,"")</f>
        <v/>
      </c>
      <c r="M82" s="118">
        <f>IF('G2 MT Reading Scoresheet'!M82&lt;&gt;"",'G2 MT Reading Scoresheet'!M82,"")</f>
        <v/>
      </c>
      <c r="N82" s="81">
        <f>IF('G2 MT Reading Scoresheet'!N82&lt;&gt;"",'G2 MT Reading Scoresheet'!N82,"")</f>
        <v/>
      </c>
      <c r="O82" s="81">
        <f>IF('G2 MT Reading Scoresheet'!O82&lt;&gt;"",'G2 MT Reading Scoresheet'!O82,"")</f>
        <v/>
      </c>
      <c r="P82" s="118">
        <f>IF('G2 MT Reading Scoresheet'!P82&lt;&gt;"",'G2 MT Reading Scoresheet'!P82,"")</f>
        <v/>
      </c>
      <c r="Q82" s="122">
        <f>IF('G2 MT Reading Scoresheet'!Q82&lt;&gt;"",'G2 MT Reading Scoresheet'!Q82,"")</f>
        <v/>
      </c>
      <c r="R82" s="81">
        <f>IF('G2 MT Reading Scoresheet'!R82&lt;&gt;"",'G2 MT Reading Scoresheet'!R82,"")</f>
        <v/>
      </c>
      <c r="S82" s="81">
        <f>IF('G2 MT Reading Scoresheet'!S82&lt;&gt;"",'G2 MT Reading Scoresheet'!S82,"")</f>
        <v/>
      </c>
      <c r="T82" s="82">
        <f>IF('G2 MT Reading Scoresheet'!T82&lt;&gt;"",'G2 MT Reading Scoresheet'!T82,"")</f>
        <v/>
      </c>
      <c r="U82" s="87">
        <f>IF('G2 MT Reading Scoresheet'!U82&lt;&gt;"",'G2 MT Reading Scoresheet'!U82,"")</f>
        <v/>
      </c>
      <c r="V82" s="271" t="n"/>
      <c r="Y82" s="221">
        <f>IF(C82&lt;&gt;"",R82/6,"")</f>
        <v/>
      </c>
    </row>
    <row r="83" ht="14.4" customHeight="1" s="346">
      <c r="A83" s="4">
        <f>A82+1</f>
        <v/>
      </c>
      <c r="B83" s="118">
        <f>IF('G2 MT Reading Scoresheet'!B83&lt;&gt;"",'G2 MT Reading Scoresheet'!B83,"")</f>
        <v/>
      </c>
      <c r="C83" s="133">
        <f>IF('G2 MT Reading Scoresheet'!C83&lt;&gt;"",'G2 MT Reading Scoresheet'!C83,"")</f>
        <v/>
      </c>
      <c r="D83" s="134">
        <f>IF('G2 MT Reading Scoresheet'!D83&lt;&gt;"",'G2 MT Reading Scoresheet'!D83,"")</f>
        <v/>
      </c>
      <c r="E83" s="135">
        <f>IF('G2 MT Reading Scoresheet'!E83&lt;&gt;"",'G2 MT Reading Scoresheet'!E83,"")</f>
        <v/>
      </c>
      <c r="F83" s="268">
        <f>IF('G2 MT Reading Scoresheet'!F83&lt;&gt;"",'G2 MT Reading Scoresheet'!F83,"")</f>
        <v/>
      </c>
      <c r="G83" s="262">
        <f>IF('G2 MT Reading Scoresheet'!G83&lt;&gt;"",'G2 MT Reading Scoresheet'!G83,"")</f>
        <v/>
      </c>
      <c r="H83" s="273">
        <f>IF('G2 MT Reading Scoresheet'!H83&lt;&gt;"",'G2 MT Reading Scoresheet'!H83,"")</f>
        <v/>
      </c>
      <c r="I83" s="81">
        <f>IF('G2 MT Reading Scoresheet'!I83&lt;&gt;"",'G2 MT Reading Scoresheet'!I83,"")</f>
        <v/>
      </c>
      <c r="J83" s="82">
        <f>IF('G2 MT Reading Scoresheet'!J83&lt;&gt;"",'G2 MT Reading Scoresheet'!J83,"")</f>
        <v/>
      </c>
      <c r="K83" s="274">
        <f>IF('G2 MT Reading Scoresheet'!K83&lt;&gt;"",'G2 MT Reading Scoresheet'!K83,"")</f>
        <v/>
      </c>
      <c r="L83" s="275">
        <f>IF('G2 MT Reading Scoresheet'!L83&lt;&gt;"",'G2 MT Reading Scoresheet'!L83,"")</f>
        <v/>
      </c>
      <c r="M83" s="118">
        <f>IF('G2 MT Reading Scoresheet'!M83&lt;&gt;"",'G2 MT Reading Scoresheet'!M83,"")</f>
        <v/>
      </c>
      <c r="N83" s="273">
        <f>IF('G2 MT Reading Scoresheet'!N83&lt;&gt;"",'G2 MT Reading Scoresheet'!N83,"")</f>
        <v/>
      </c>
      <c r="O83" s="273">
        <f>IF('G2 MT Reading Scoresheet'!O83&lt;&gt;"",'G2 MT Reading Scoresheet'!O83,"")</f>
        <v/>
      </c>
      <c r="P83" s="118">
        <f>IF('G2 MT Reading Scoresheet'!P83&lt;&gt;"",'G2 MT Reading Scoresheet'!P83,"")</f>
        <v/>
      </c>
      <c r="Q83" s="122">
        <f>IF('G2 MT Reading Scoresheet'!Q83&lt;&gt;"",'G2 MT Reading Scoresheet'!Q83,"")</f>
        <v/>
      </c>
      <c r="R83" s="273">
        <f>IF('G2 MT Reading Scoresheet'!R83&lt;&gt;"",'G2 MT Reading Scoresheet'!R83,"")</f>
        <v/>
      </c>
      <c r="S83" s="273">
        <f>IF('G2 MT Reading Scoresheet'!S83&lt;&gt;"",'G2 MT Reading Scoresheet'!S83,"")</f>
        <v/>
      </c>
      <c r="T83" s="276">
        <f>IF('G2 MT Reading Scoresheet'!T83&lt;&gt;"",'G2 MT Reading Scoresheet'!T83,"")</f>
        <v/>
      </c>
      <c r="U83" s="87">
        <f>IF('G2 MT Reading Scoresheet'!U83&lt;&gt;"",'G2 MT Reading Scoresheet'!U83,"")</f>
        <v/>
      </c>
      <c r="V83" s="277" t="n"/>
      <c r="Y83" s="221">
        <f>IF(C83&lt;&gt;"",R83/6,"")</f>
        <v/>
      </c>
    </row>
    <row r="84" ht="14.4" customHeight="1" s="346">
      <c r="A84" s="5">
        <f>A83+1</f>
        <v/>
      </c>
      <c r="B84" s="118">
        <f>IF('G2 MT Reading Scoresheet'!B84&lt;&gt;"",'G2 MT Reading Scoresheet'!B84,"")</f>
        <v/>
      </c>
      <c r="C84" s="133">
        <f>IF('G2 MT Reading Scoresheet'!C84&lt;&gt;"",'G2 MT Reading Scoresheet'!C84,"")</f>
        <v/>
      </c>
      <c r="D84" s="134">
        <f>IF('G2 MT Reading Scoresheet'!D84&lt;&gt;"",'G2 MT Reading Scoresheet'!D84,"")</f>
        <v/>
      </c>
      <c r="E84" s="135">
        <f>IF('G2 MT Reading Scoresheet'!E84&lt;&gt;"",'G2 MT Reading Scoresheet'!E84,"")</f>
        <v/>
      </c>
      <c r="F84" s="272">
        <f>IF('G2 MT Reading Scoresheet'!F84&lt;&gt;"",'G2 MT Reading Scoresheet'!F84,"")</f>
        <v/>
      </c>
      <c r="G84" s="269">
        <f>IF('G2 MT Reading Scoresheet'!G84&lt;&gt;"",'G2 MT Reading Scoresheet'!G84,"")</f>
        <v/>
      </c>
      <c r="H84" s="81">
        <f>IF('G2 MT Reading Scoresheet'!H84&lt;&gt;"",'G2 MT Reading Scoresheet'!H84,"")</f>
        <v/>
      </c>
      <c r="I84" s="81">
        <f>IF('G2 MT Reading Scoresheet'!I84&lt;&gt;"",'G2 MT Reading Scoresheet'!I84,"")</f>
        <v/>
      </c>
      <c r="J84" s="82">
        <f>IF('G2 MT Reading Scoresheet'!J84&lt;&gt;"",'G2 MT Reading Scoresheet'!J84,"")</f>
        <v/>
      </c>
      <c r="K84" s="270">
        <f>IF('G2 MT Reading Scoresheet'!K84&lt;&gt;"",'G2 MT Reading Scoresheet'!K84,"")</f>
        <v/>
      </c>
      <c r="L84" s="87">
        <f>IF('G2 MT Reading Scoresheet'!L84&lt;&gt;"",'G2 MT Reading Scoresheet'!L84,"")</f>
        <v/>
      </c>
      <c r="M84" s="118">
        <f>IF('G2 MT Reading Scoresheet'!M84&lt;&gt;"",'G2 MT Reading Scoresheet'!M84,"")</f>
        <v/>
      </c>
      <c r="N84" s="81">
        <f>IF('G2 MT Reading Scoresheet'!N84&lt;&gt;"",'G2 MT Reading Scoresheet'!N84,"")</f>
        <v/>
      </c>
      <c r="O84" s="81">
        <f>IF('G2 MT Reading Scoresheet'!O84&lt;&gt;"",'G2 MT Reading Scoresheet'!O84,"")</f>
        <v/>
      </c>
      <c r="P84" s="118">
        <f>IF('G2 MT Reading Scoresheet'!P84&lt;&gt;"",'G2 MT Reading Scoresheet'!P84,"")</f>
        <v/>
      </c>
      <c r="Q84" s="122">
        <f>IF('G2 MT Reading Scoresheet'!Q84&lt;&gt;"",'G2 MT Reading Scoresheet'!Q84,"")</f>
        <v/>
      </c>
      <c r="R84" s="81">
        <f>IF('G2 MT Reading Scoresheet'!R84&lt;&gt;"",'G2 MT Reading Scoresheet'!R84,"")</f>
        <v/>
      </c>
      <c r="S84" s="81">
        <f>IF('G2 MT Reading Scoresheet'!S84&lt;&gt;"",'G2 MT Reading Scoresheet'!S84,"")</f>
        <v/>
      </c>
      <c r="T84" s="82">
        <f>IF('G2 MT Reading Scoresheet'!T84&lt;&gt;"",'G2 MT Reading Scoresheet'!T84,"")</f>
        <v/>
      </c>
      <c r="U84" s="87">
        <f>IF('G2 MT Reading Scoresheet'!U84&lt;&gt;"",'G2 MT Reading Scoresheet'!U84,"")</f>
        <v/>
      </c>
      <c r="V84" s="271" t="n"/>
      <c r="Y84" s="221">
        <f>IF(C84&lt;&gt;"",R84/6,"")</f>
        <v/>
      </c>
    </row>
    <row r="85" ht="14.4" customHeight="1" s="346">
      <c r="A85" s="4">
        <f>A84+1</f>
        <v/>
      </c>
      <c r="B85" s="118">
        <f>IF('G2 MT Reading Scoresheet'!B85&lt;&gt;"",'G2 MT Reading Scoresheet'!B85,"")</f>
        <v/>
      </c>
      <c r="C85" s="133">
        <f>IF('G2 MT Reading Scoresheet'!C85&lt;&gt;"",'G2 MT Reading Scoresheet'!C85,"")</f>
        <v/>
      </c>
      <c r="D85" s="134">
        <f>IF('G2 MT Reading Scoresheet'!D85&lt;&gt;"",'G2 MT Reading Scoresheet'!D85,"")</f>
        <v/>
      </c>
      <c r="E85" s="135">
        <f>IF('G2 MT Reading Scoresheet'!E85&lt;&gt;"",'G2 MT Reading Scoresheet'!E85,"")</f>
        <v/>
      </c>
      <c r="F85" s="268">
        <f>IF('G2 MT Reading Scoresheet'!F85&lt;&gt;"",'G2 MT Reading Scoresheet'!F85,"")</f>
        <v/>
      </c>
      <c r="G85" s="262">
        <f>IF('G2 MT Reading Scoresheet'!G85&lt;&gt;"",'G2 MT Reading Scoresheet'!G85,"")</f>
        <v/>
      </c>
      <c r="H85" s="273">
        <f>IF('G2 MT Reading Scoresheet'!H85&lt;&gt;"",'G2 MT Reading Scoresheet'!H85,"")</f>
        <v/>
      </c>
      <c r="I85" s="81">
        <f>IF('G2 MT Reading Scoresheet'!I85&lt;&gt;"",'G2 MT Reading Scoresheet'!I85,"")</f>
        <v/>
      </c>
      <c r="J85" s="82">
        <f>IF('G2 MT Reading Scoresheet'!J85&lt;&gt;"",'G2 MT Reading Scoresheet'!J85,"")</f>
        <v/>
      </c>
      <c r="K85" s="274">
        <f>IF('G2 MT Reading Scoresheet'!K85&lt;&gt;"",'G2 MT Reading Scoresheet'!K85,"")</f>
        <v/>
      </c>
      <c r="L85" s="275">
        <f>IF('G2 MT Reading Scoresheet'!L85&lt;&gt;"",'G2 MT Reading Scoresheet'!L85,"")</f>
        <v/>
      </c>
      <c r="M85" s="118">
        <f>IF('G2 MT Reading Scoresheet'!M85&lt;&gt;"",'G2 MT Reading Scoresheet'!M85,"")</f>
        <v/>
      </c>
      <c r="N85" s="273">
        <f>IF('G2 MT Reading Scoresheet'!N85&lt;&gt;"",'G2 MT Reading Scoresheet'!N85,"")</f>
        <v/>
      </c>
      <c r="O85" s="273">
        <f>IF('G2 MT Reading Scoresheet'!O85&lt;&gt;"",'G2 MT Reading Scoresheet'!O85,"")</f>
        <v/>
      </c>
      <c r="P85" s="118">
        <f>IF('G2 MT Reading Scoresheet'!P85&lt;&gt;"",'G2 MT Reading Scoresheet'!P85,"")</f>
        <v/>
      </c>
      <c r="Q85" s="122">
        <f>IF('G2 MT Reading Scoresheet'!Q85&lt;&gt;"",'G2 MT Reading Scoresheet'!Q85,"")</f>
        <v/>
      </c>
      <c r="R85" s="273">
        <f>IF('G2 MT Reading Scoresheet'!R85&lt;&gt;"",'G2 MT Reading Scoresheet'!R85,"")</f>
        <v/>
      </c>
      <c r="S85" s="273">
        <f>IF('G2 MT Reading Scoresheet'!S85&lt;&gt;"",'G2 MT Reading Scoresheet'!S85,"")</f>
        <v/>
      </c>
      <c r="T85" s="276">
        <f>IF('G2 MT Reading Scoresheet'!T85&lt;&gt;"",'G2 MT Reading Scoresheet'!T85,"")</f>
        <v/>
      </c>
      <c r="U85" s="87">
        <f>IF('G2 MT Reading Scoresheet'!U85&lt;&gt;"",'G2 MT Reading Scoresheet'!U85,"")</f>
        <v/>
      </c>
      <c r="V85" s="277" t="n"/>
      <c r="Y85" s="221">
        <f>IF(C85&lt;&gt;"",R85/6,"")</f>
        <v/>
      </c>
    </row>
    <row r="86" ht="14.4" customHeight="1" s="346">
      <c r="A86" s="5">
        <f>A85+1</f>
        <v/>
      </c>
      <c r="B86" s="118">
        <f>IF('G2 MT Reading Scoresheet'!B86&lt;&gt;"",'G2 MT Reading Scoresheet'!B86,"")</f>
        <v/>
      </c>
      <c r="C86" s="133">
        <f>IF('G2 MT Reading Scoresheet'!C86&lt;&gt;"",'G2 MT Reading Scoresheet'!C86,"")</f>
        <v/>
      </c>
      <c r="D86" s="134">
        <f>IF('G2 MT Reading Scoresheet'!D86&lt;&gt;"",'G2 MT Reading Scoresheet'!D86,"")</f>
        <v/>
      </c>
      <c r="E86" s="135">
        <f>IF('G2 MT Reading Scoresheet'!E86&lt;&gt;"",'G2 MT Reading Scoresheet'!E86,"")</f>
        <v/>
      </c>
      <c r="F86" s="272">
        <f>IF('G2 MT Reading Scoresheet'!F86&lt;&gt;"",'G2 MT Reading Scoresheet'!F86,"")</f>
        <v/>
      </c>
      <c r="G86" s="269">
        <f>IF('G2 MT Reading Scoresheet'!G86&lt;&gt;"",'G2 MT Reading Scoresheet'!G86,"")</f>
        <v/>
      </c>
      <c r="H86" s="81">
        <f>IF('G2 MT Reading Scoresheet'!H86&lt;&gt;"",'G2 MT Reading Scoresheet'!H86,"")</f>
        <v/>
      </c>
      <c r="I86" s="81">
        <f>IF('G2 MT Reading Scoresheet'!I86&lt;&gt;"",'G2 MT Reading Scoresheet'!I86,"")</f>
        <v/>
      </c>
      <c r="J86" s="82">
        <f>IF('G2 MT Reading Scoresheet'!J86&lt;&gt;"",'G2 MT Reading Scoresheet'!J86,"")</f>
        <v/>
      </c>
      <c r="K86" s="270">
        <f>IF('G2 MT Reading Scoresheet'!K86&lt;&gt;"",'G2 MT Reading Scoresheet'!K86,"")</f>
        <v/>
      </c>
      <c r="L86" s="87">
        <f>IF('G2 MT Reading Scoresheet'!L86&lt;&gt;"",'G2 MT Reading Scoresheet'!L86,"")</f>
        <v/>
      </c>
      <c r="M86" s="118">
        <f>IF('G2 MT Reading Scoresheet'!M86&lt;&gt;"",'G2 MT Reading Scoresheet'!M86,"")</f>
        <v/>
      </c>
      <c r="N86" s="81">
        <f>IF('G2 MT Reading Scoresheet'!N86&lt;&gt;"",'G2 MT Reading Scoresheet'!N86,"")</f>
        <v/>
      </c>
      <c r="O86" s="81">
        <f>IF('G2 MT Reading Scoresheet'!O86&lt;&gt;"",'G2 MT Reading Scoresheet'!O86,"")</f>
        <v/>
      </c>
      <c r="P86" s="118">
        <f>IF('G2 MT Reading Scoresheet'!P86&lt;&gt;"",'G2 MT Reading Scoresheet'!P86,"")</f>
        <v/>
      </c>
      <c r="Q86" s="122">
        <f>IF('G2 MT Reading Scoresheet'!Q86&lt;&gt;"",'G2 MT Reading Scoresheet'!Q86,"")</f>
        <v/>
      </c>
      <c r="R86" s="81">
        <f>IF('G2 MT Reading Scoresheet'!R86&lt;&gt;"",'G2 MT Reading Scoresheet'!R86,"")</f>
        <v/>
      </c>
      <c r="S86" s="81">
        <f>IF('G2 MT Reading Scoresheet'!S86&lt;&gt;"",'G2 MT Reading Scoresheet'!S86,"")</f>
        <v/>
      </c>
      <c r="T86" s="82">
        <f>IF('G2 MT Reading Scoresheet'!T86&lt;&gt;"",'G2 MT Reading Scoresheet'!T86,"")</f>
        <v/>
      </c>
      <c r="U86" s="87">
        <f>IF('G2 MT Reading Scoresheet'!U86&lt;&gt;"",'G2 MT Reading Scoresheet'!U86,"")</f>
        <v/>
      </c>
      <c r="V86" s="271" t="n"/>
      <c r="Y86" s="221">
        <f>IF(C86&lt;&gt;"",R86/6,"")</f>
        <v/>
      </c>
    </row>
    <row r="87" ht="14.4" customHeight="1" s="346">
      <c r="A87" s="4">
        <f>A86+1</f>
        <v/>
      </c>
      <c r="B87" s="118">
        <f>IF('G2 MT Reading Scoresheet'!B87&lt;&gt;"",'G2 MT Reading Scoresheet'!B87,"")</f>
        <v/>
      </c>
      <c r="C87" s="133">
        <f>IF('G2 MT Reading Scoresheet'!C87&lt;&gt;"",'G2 MT Reading Scoresheet'!C87,"")</f>
        <v/>
      </c>
      <c r="D87" s="134">
        <f>IF('G2 MT Reading Scoresheet'!D87&lt;&gt;"",'G2 MT Reading Scoresheet'!D87,"")</f>
        <v/>
      </c>
      <c r="E87" s="135">
        <f>IF('G2 MT Reading Scoresheet'!E87&lt;&gt;"",'G2 MT Reading Scoresheet'!E87,"")</f>
        <v/>
      </c>
      <c r="F87" s="268">
        <f>IF('G2 MT Reading Scoresheet'!F87&lt;&gt;"",'G2 MT Reading Scoresheet'!F87,"")</f>
        <v/>
      </c>
      <c r="G87" s="262">
        <f>IF('G2 MT Reading Scoresheet'!G87&lt;&gt;"",'G2 MT Reading Scoresheet'!G87,"")</f>
        <v/>
      </c>
      <c r="H87" s="273">
        <f>IF('G2 MT Reading Scoresheet'!H87&lt;&gt;"",'G2 MT Reading Scoresheet'!H87,"")</f>
        <v/>
      </c>
      <c r="I87" s="81">
        <f>IF('G2 MT Reading Scoresheet'!I87&lt;&gt;"",'G2 MT Reading Scoresheet'!I87,"")</f>
        <v/>
      </c>
      <c r="J87" s="82">
        <f>IF('G2 MT Reading Scoresheet'!J87&lt;&gt;"",'G2 MT Reading Scoresheet'!J87,"")</f>
        <v/>
      </c>
      <c r="K87" s="274">
        <f>IF('G2 MT Reading Scoresheet'!K87&lt;&gt;"",'G2 MT Reading Scoresheet'!K87,"")</f>
        <v/>
      </c>
      <c r="L87" s="275">
        <f>IF('G2 MT Reading Scoresheet'!L87&lt;&gt;"",'G2 MT Reading Scoresheet'!L87,"")</f>
        <v/>
      </c>
      <c r="M87" s="118">
        <f>IF('G2 MT Reading Scoresheet'!M87&lt;&gt;"",'G2 MT Reading Scoresheet'!M87,"")</f>
        <v/>
      </c>
      <c r="N87" s="273">
        <f>IF('G2 MT Reading Scoresheet'!N87&lt;&gt;"",'G2 MT Reading Scoresheet'!N87,"")</f>
        <v/>
      </c>
      <c r="O87" s="273">
        <f>IF('G2 MT Reading Scoresheet'!O87&lt;&gt;"",'G2 MT Reading Scoresheet'!O87,"")</f>
        <v/>
      </c>
      <c r="P87" s="118">
        <f>IF('G2 MT Reading Scoresheet'!P87&lt;&gt;"",'G2 MT Reading Scoresheet'!P87,"")</f>
        <v/>
      </c>
      <c r="Q87" s="122">
        <f>IF('G2 MT Reading Scoresheet'!Q87&lt;&gt;"",'G2 MT Reading Scoresheet'!Q87,"")</f>
        <v/>
      </c>
      <c r="R87" s="273">
        <f>IF('G2 MT Reading Scoresheet'!R87&lt;&gt;"",'G2 MT Reading Scoresheet'!R87,"")</f>
        <v/>
      </c>
      <c r="S87" s="273">
        <f>IF('G2 MT Reading Scoresheet'!S87&lt;&gt;"",'G2 MT Reading Scoresheet'!S87,"")</f>
        <v/>
      </c>
      <c r="T87" s="276">
        <f>IF('G2 MT Reading Scoresheet'!T87&lt;&gt;"",'G2 MT Reading Scoresheet'!T87,"")</f>
        <v/>
      </c>
      <c r="U87" s="87">
        <f>IF('G2 MT Reading Scoresheet'!U87&lt;&gt;"",'G2 MT Reading Scoresheet'!U87,"")</f>
        <v/>
      </c>
      <c r="V87" s="277" t="n"/>
      <c r="Y87" s="221">
        <f>IF(C87&lt;&gt;"",R87/6,"")</f>
        <v/>
      </c>
    </row>
    <row r="88" ht="14.4" customHeight="1" s="346">
      <c r="A88" s="5">
        <f>A87+1</f>
        <v/>
      </c>
      <c r="B88" s="118">
        <f>IF('G2 MT Reading Scoresheet'!B88&lt;&gt;"",'G2 MT Reading Scoresheet'!B88,"")</f>
        <v/>
      </c>
      <c r="C88" s="133">
        <f>IF('G2 MT Reading Scoresheet'!C88&lt;&gt;"",'G2 MT Reading Scoresheet'!C88,"")</f>
        <v/>
      </c>
      <c r="D88" s="134">
        <f>IF('G2 MT Reading Scoresheet'!D88&lt;&gt;"",'G2 MT Reading Scoresheet'!D88,"")</f>
        <v/>
      </c>
      <c r="E88" s="135">
        <f>IF('G2 MT Reading Scoresheet'!E88&lt;&gt;"",'G2 MT Reading Scoresheet'!E88,"")</f>
        <v/>
      </c>
      <c r="F88" s="272">
        <f>IF('G2 MT Reading Scoresheet'!F88&lt;&gt;"",'G2 MT Reading Scoresheet'!F88,"")</f>
        <v/>
      </c>
      <c r="G88" s="269">
        <f>IF('G2 MT Reading Scoresheet'!G88&lt;&gt;"",'G2 MT Reading Scoresheet'!G88,"")</f>
        <v/>
      </c>
      <c r="H88" s="81">
        <f>IF('G2 MT Reading Scoresheet'!H88&lt;&gt;"",'G2 MT Reading Scoresheet'!H88,"")</f>
        <v/>
      </c>
      <c r="I88" s="81">
        <f>IF('G2 MT Reading Scoresheet'!I88&lt;&gt;"",'G2 MT Reading Scoresheet'!I88,"")</f>
        <v/>
      </c>
      <c r="J88" s="82">
        <f>IF('G2 MT Reading Scoresheet'!J88&lt;&gt;"",'G2 MT Reading Scoresheet'!J88,"")</f>
        <v/>
      </c>
      <c r="K88" s="270">
        <f>IF('G2 MT Reading Scoresheet'!K88&lt;&gt;"",'G2 MT Reading Scoresheet'!K88,"")</f>
        <v/>
      </c>
      <c r="L88" s="87">
        <f>IF('G2 MT Reading Scoresheet'!L88&lt;&gt;"",'G2 MT Reading Scoresheet'!L88,"")</f>
        <v/>
      </c>
      <c r="M88" s="118">
        <f>IF('G2 MT Reading Scoresheet'!M88&lt;&gt;"",'G2 MT Reading Scoresheet'!M88,"")</f>
        <v/>
      </c>
      <c r="N88" s="81">
        <f>IF('G2 MT Reading Scoresheet'!N88&lt;&gt;"",'G2 MT Reading Scoresheet'!N88,"")</f>
        <v/>
      </c>
      <c r="O88" s="81">
        <f>IF('G2 MT Reading Scoresheet'!O88&lt;&gt;"",'G2 MT Reading Scoresheet'!O88,"")</f>
        <v/>
      </c>
      <c r="P88" s="118">
        <f>IF('G2 MT Reading Scoresheet'!P88&lt;&gt;"",'G2 MT Reading Scoresheet'!P88,"")</f>
        <v/>
      </c>
      <c r="Q88" s="122">
        <f>IF('G2 MT Reading Scoresheet'!Q88&lt;&gt;"",'G2 MT Reading Scoresheet'!Q88,"")</f>
        <v/>
      </c>
      <c r="R88" s="81">
        <f>IF('G2 MT Reading Scoresheet'!R88&lt;&gt;"",'G2 MT Reading Scoresheet'!R88,"")</f>
        <v/>
      </c>
      <c r="S88" s="81">
        <f>IF('G2 MT Reading Scoresheet'!S88&lt;&gt;"",'G2 MT Reading Scoresheet'!S88,"")</f>
        <v/>
      </c>
      <c r="T88" s="82">
        <f>IF('G2 MT Reading Scoresheet'!T88&lt;&gt;"",'G2 MT Reading Scoresheet'!T88,"")</f>
        <v/>
      </c>
      <c r="U88" s="87">
        <f>IF('G2 MT Reading Scoresheet'!U88&lt;&gt;"",'G2 MT Reading Scoresheet'!U88,"")</f>
        <v/>
      </c>
      <c r="V88" s="271" t="n"/>
      <c r="Y88" s="221">
        <f>IF(C88&lt;&gt;"",R88/6,"")</f>
        <v/>
      </c>
    </row>
    <row r="89" ht="14.4" customHeight="1" s="346">
      <c r="A89" s="4">
        <f>A88+1</f>
        <v/>
      </c>
      <c r="B89" s="118">
        <f>IF('G2 MT Reading Scoresheet'!B89&lt;&gt;"",'G2 MT Reading Scoresheet'!B89,"")</f>
        <v/>
      </c>
      <c r="C89" s="133">
        <f>IF('G2 MT Reading Scoresheet'!C89&lt;&gt;"",'G2 MT Reading Scoresheet'!C89,"")</f>
        <v/>
      </c>
      <c r="D89" s="134">
        <f>IF('G2 MT Reading Scoresheet'!D89&lt;&gt;"",'G2 MT Reading Scoresheet'!D89,"")</f>
        <v/>
      </c>
      <c r="E89" s="135">
        <f>IF('G2 MT Reading Scoresheet'!E89&lt;&gt;"",'G2 MT Reading Scoresheet'!E89,"")</f>
        <v/>
      </c>
      <c r="F89" s="268">
        <f>IF('G2 MT Reading Scoresheet'!F89&lt;&gt;"",'G2 MT Reading Scoresheet'!F89,"")</f>
        <v/>
      </c>
      <c r="G89" s="262">
        <f>IF('G2 MT Reading Scoresheet'!G89&lt;&gt;"",'G2 MT Reading Scoresheet'!G89,"")</f>
        <v/>
      </c>
      <c r="H89" s="273">
        <f>IF('G2 MT Reading Scoresheet'!H89&lt;&gt;"",'G2 MT Reading Scoresheet'!H89,"")</f>
        <v/>
      </c>
      <c r="I89" s="81">
        <f>IF('G2 MT Reading Scoresheet'!I89&lt;&gt;"",'G2 MT Reading Scoresheet'!I89,"")</f>
        <v/>
      </c>
      <c r="J89" s="82">
        <f>IF('G2 MT Reading Scoresheet'!J89&lt;&gt;"",'G2 MT Reading Scoresheet'!J89,"")</f>
        <v/>
      </c>
      <c r="K89" s="274">
        <f>IF('G2 MT Reading Scoresheet'!K89&lt;&gt;"",'G2 MT Reading Scoresheet'!K89,"")</f>
        <v/>
      </c>
      <c r="L89" s="275">
        <f>IF('G2 MT Reading Scoresheet'!L89&lt;&gt;"",'G2 MT Reading Scoresheet'!L89,"")</f>
        <v/>
      </c>
      <c r="M89" s="118">
        <f>IF('G2 MT Reading Scoresheet'!M89&lt;&gt;"",'G2 MT Reading Scoresheet'!M89,"")</f>
        <v/>
      </c>
      <c r="N89" s="273">
        <f>IF('G2 MT Reading Scoresheet'!N89&lt;&gt;"",'G2 MT Reading Scoresheet'!N89,"")</f>
        <v/>
      </c>
      <c r="O89" s="273">
        <f>IF('G2 MT Reading Scoresheet'!O89&lt;&gt;"",'G2 MT Reading Scoresheet'!O89,"")</f>
        <v/>
      </c>
      <c r="P89" s="118">
        <f>IF('G2 MT Reading Scoresheet'!P89&lt;&gt;"",'G2 MT Reading Scoresheet'!P89,"")</f>
        <v/>
      </c>
      <c r="Q89" s="122">
        <f>IF('G2 MT Reading Scoresheet'!Q89&lt;&gt;"",'G2 MT Reading Scoresheet'!Q89,"")</f>
        <v/>
      </c>
      <c r="R89" s="273">
        <f>IF('G2 MT Reading Scoresheet'!R89&lt;&gt;"",'G2 MT Reading Scoresheet'!R89,"")</f>
        <v/>
      </c>
      <c r="S89" s="273">
        <f>IF('G2 MT Reading Scoresheet'!S89&lt;&gt;"",'G2 MT Reading Scoresheet'!S89,"")</f>
        <v/>
      </c>
      <c r="T89" s="276">
        <f>IF('G2 MT Reading Scoresheet'!T89&lt;&gt;"",'G2 MT Reading Scoresheet'!T89,"")</f>
        <v/>
      </c>
      <c r="U89" s="87">
        <f>IF('G2 MT Reading Scoresheet'!U89&lt;&gt;"",'G2 MT Reading Scoresheet'!U89,"")</f>
        <v/>
      </c>
      <c r="V89" s="277" t="n"/>
      <c r="Y89" s="221">
        <f>IF(C89&lt;&gt;"",R89/6,"")</f>
        <v/>
      </c>
    </row>
    <row r="90" ht="14.4" customHeight="1" s="346">
      <c r="A90" s="5">
        <f>A89+1</f>
        <v/>
      </c>
      <c r="B90" s="118">
        <f>IF('G2 MT Reading Scoresheet'!B90&lt;&gt;"",'G2 MT Reading Scoresheet'!B90,"")</f>
        <v/>
      </c>
      <c r="C90" s="133">
        <f>IF('G2 MT Reading Scoresheet'!C90&lt;&gt;"",'G2 MT Reading Scoresheet'!C90,"")</f>
        <v/>
      </c>
      <c r="D90" s="134">
        <f>IF('G2 MT Reading Scoresheet'!D90&lt;&gt;"",'G2 MT Reading Scoresheet'!D90,"")</f>
        <v/>
      </c>
      <c r="E90" s="135">
        <f>IF('G2 MT Reading Scoresheet'!E90&lt;&gt;"",'G2 MT Reading Scoresheet'!E90,"")</f>
        <v/>
      </c>
      <c r="F90" s="272">
        <f>IF('G2 MT Reading Scoresheet'!F90&lt;&gt;"",'G2 MT Reading Scoresheet'!F90,"")</f>
        <v/>
      </c>
      <c r="G90" s="269">
        <f>IF('G2 MT Reading Scoresheet'!G90&lt;&gt;"",'G2 MT Reading Scoresheet'!G90,"")</f>
        <v/>
      </c>
      <c r="H90" s="81">
        <f>IF('G2 MT Reading Scoresheet'!H90&lt;&gt;"",'G2 MT Reading Scoresheet'!H90,"")</f>
        <v/>
      </c>
      <c r="I90" s="81">
        <f>IF('G2 MT Reading Scoresheet'!I90&lt;&gt;"",'G2 MT Reading Scoresheet'!I90,"")</f>
        <v/>
      </c>
      <c r="J90" s="82">
        <f>IF('G2 MT Reading Scoresheet'!J90&lt;&gt;"",'G2 MT Reading Scoresheet'!J90,"")</f>
        <v/>
      </c>
      <c r="K90" s="270">
        <f>IF('G2 MT Reading Scoresheet'!K90&lt;&gt;"",'G2 MT Reading Scoresheet'!K90,"")</f>
        <v/>
      </c>
      <c r="L90" s="87">
        <f>IF('G2 MT Reading Scoresheet'!L90&lt;&gt;"",'G2 MT Reading Scoresheet'!L90,"")</f>
        <v/>
      </c>
      <c r="M90" s="118">
        <f>IF('G2 MT Reading Scoresheet'!M90&lt;&gt;"",'G2 MT Reading Scoresheet'!M90,"")</f>
        <v/>
      </c>
      <c r="N90" s="81">
        <f>IF('G2 MT Reading Scoresheet'!N90&lt;&gt;"",'G2 MT Reading Scoresheet'!N90,"")</f>
        <v/>
      </c>
      <c r="O90" s="81">
        <f>IF('G2 MT Reading Scoresheet'!O90&lt;&gt;"",'G2 MT Reading Scoresheet'!O90,"")</f>
        <v/>
      </c>
      <c r="P90" s="118">
        <f>IF('G2 MT Reading Scoresheet'!P90&lt;&gt;"",'G2 MT Reading Scoresheet'!P90,"")</f>
        <v/>
      </c>
      <c r="Q90" s="122">
        <f>IF('G2 MT Reading Scoresheet'!Q90&lt;&gt;"",'G2 MT Reading Scoresheet'!Q90,"")</f>
        <v/>
      </c>
      <c r="R90" s="81">
        <f>IF('G2 MT Reading Scoresheet'!R90&lt;&gt;"",'G2 MT Reading Scoresheet'!R90,"")</f>
        <v/>
      </c>
      <c r="S90" s="81">
        <f>IF('G2 MT Reading Scoresheet'!S90&lt;&gt;"",'G2 MT Reading Scoresheet'!S90,"")</f>
        <v/>
      </c>
      <c r="T90" s="82">
        <f>IF('G2 MT Reading Scoresheet'!T90&lt;&gt;"",'G2 MT Reading Scoresheet'!T90,"")</f>
        <v/>
      </c>
      <c r="U90" s="87">
        <f>IF('G2 MT Reading Scoresheet'!U90&lt;&gt;"",'G2 MT Reading Scoresheet'!U90,"")</f>
        <v/>
      </c>
      <c r="V90" s="271" t="n"/>
      <c r="Y90" s="221">
        <f>IF(C90&lt;&gt;"",R90/6,"")</f>
        <v/>
      </c>
    </row>
    <row r="91" ht="14.4" customHeight="1" s="346">
      <c r="A91" s="4">
        <f>A90+1</f>
        <v/>
      </c>
      <c r="B91" s="118">
        <f>IF('G2 MT Reading Scoresheet'!B91&lt;&gt;"",'G2 MT Reading Scoresheet'!B91,"")</f>
        <v/>
      </c>
      <c r="C91" s="133">
        <f>IF('G2 MT Reading Scoresheet'!C91&lt;&gt;"",'G2 MT Reading Scoresheet'!C91,"")</f>
        <v/>
      </c>
      <c r="D91" s="134">
        <f>IF('G2 MT Reading Scoresheet'!D91&lt;&gt;"",'G2 MT Reading Scoresheet'!D91,"")</f>
        <v/>
      </c>
      <c r="E91" s="135">
        <f>IF('G2 MT Reading Scoresheet'!E91&lt;&gt;"",'G2 MT Reading Scoresheet'!E91,"")</f>
        <v/>
      </c>
      <c r="F91" s="268">
        <f>IF('G2 MT Reading Scoresheet'!F91&lt;&gt;"",'G2 MT Reading Scoresheet'!F91,"")</f>
        <v/>
      </c>
      <c r="G91" s="262">
        <f>IF('G2 MT Reading Scoresheet'!G91&lt;&gt;"",'G2 MT Reading Scoresheet'!G91,"")</f>
        <v/>
      </c>
      <c r="H91" s="273">
        <f>IF('G2 MT Reading Scoresheet'!H91&lt;&gt;"",'G2 MT Reading Scoresheet'!H91,"")</f>
        <v/>
      </c>
      <c r="I91" s="81">
        <f>IF('G2 MT Reading Scoresheet'!I91&lt;&gt;"",'G2 MT Reading Scoresheet'!I91,"")</f>
        <v/>
      </c>
      <c r="J91" s="82">
        <f>IF('G2 MT Reading Scoresheet'!J91&lt;&gt;"",'G2 MT Reading Scoresheet'!J91,"")</f>
        <v/>
      </c>
      <c r="K91" s="274">
        <f>IF('G2 MT Reading Scoresheet'!K91&lt;&gt;"",'G2 MT Reading Scoresheet'!K91,"")</f>
        <v/>
      </c>
      <c r="L91" s="275">
        <f>IF('G2 MT Reading Scoresheet'!L91&lt;&gt;"",'G2 MT Reading Scoresheet'!L91,"")</f>
        <v/>
      </c>
      <c r="M91" s="118">
        <f>IF('G2 MT Reading Scoresheet'!M91&lt;&gt;"",'G2 MT Reading Scoresheet'!M91,"")</f>
        <v/>
      </c>
      <c r="N91" s="273">
        <f>IF('G2 MT Reading Scoresheet'!N91&lt;&gt;"",'G2 MT Reading Scoresheet'!N91,"")</f>
        <v/>
      </c>
      <c r="O91" s="273">
        <f>IF('G2 MT Reading Scoresheet'!O91&lt;&gt;"",'G2 MT Reading Scoresheet'!O91,"")</f>
        <v/>
      </c>
      <c r="P91" s="118">
        <f>IF('G2 MT Reading Scoresheet'!P91&lt;&gt;"",'G2 MT Reading Scoresheet'!P91,"")</f>
        <v/>
      </c>
      <c r="Q91" s="122">
        <f>IF('G2 MT Reading Scoresheet'!Q91&lt;&gt;"",'G2 MT Reading Scoresheet'!Q91,"")</f>
        <v/>
      </c>
      <c r="R91" s="273">
        <f>IF('G2 MT Reading Scoresheet'!R91&lt;&gt;"",'G2 MT Reading Scoresheet'!R91,"")</f>
        <v/>
      </c>
      <c r="S91" s="273">
        <f>IF('G2 MT Reading Scoresheet'!S91&lt;&gt;"",'G2 MT Reading Scoresheet'!S91,"")</f>
        <v/>
      </c>
      <c r="T91" s="276">
        <f>IF('G2 MT Reading Scoresheet'!T91&lt;&gt;"",'G2 MT Reading Scoresheet'!T91,"")</f>
        <v/>
      </c>
      <c r="U91" s="87">
        <f>IF('G2 MT Reading Scoresheet'!U91&lt;&gt;"",'G2 MT Reading Scoresheet'!U91,"")</f>
        <v/>
      </c>
      <c r="V91" s="277" t="n"/>
      <c r="Y91" s="221">
        <f>IF(C91&lt;&gt;"",R91/6,"")</f>
        <v/>
      </c>
    </row>
    <row r="92" ht="14.4" customHeight="1" s="346">
      <c r="A92" s="5">
        <f>A91+1</f>
        <v/>
      </c>
      <c r="B92" s="118">
        <f>IF('G2 MT Reading Scoresheet'!B92&lt;&gt;"",'G2 MT Reading Scoresheet'!B92,"")</f>
        <v/>
      </c>
      <c r="C92" s="133">
        <f>IF('G2 MT Reading Scoresheet'!C92&lt;&gt;"",'G2 MT Reading Scoresheet'!C92,"")</f>
        <v/>
      </c>
      <c r="D92" s="134">
        <f>IF('G2 MT Reading Scoresheet'!D92&lt;&gt;"",'G2 MT Reading Scoresheet'!D92,"")</f>
        <v/>
      </c>
      <c r="E92" s="135">
        <f>IF('G2 MT Reading Scoresheet'!E92&lt;&gt;"",'G2 MT Reading Scoresheet'!E92,"")</f>
        <v/>
      </c>
      <c r="F92" s="272">
        <f>IF('G2 MT Reading Scoresheet'!F92&lt;&gt;"",'G2 MT Reading Scoresheet'!F92,"")</f>
        <v/>
      </c>
      <c r="G92" s="269">
        <f>IF('G2 MT Reading Scoresheet'!G92&lt;&gt;"",'G2 MT Reading Scoresheet'!G92,"")</f>
        <v/>
      </c>
      <c r="H92" s="81">
        <f>IF('G2 MT Reading Scoresheet'!H92&lt;&gt;"",'G2 MT Reading Scoresheet'!H92,"")</f>
        <v/>
      </c>
      <c r="I92" s="81">
        <f>IF('G2 MT Reading Scoresheet'!I92&lt;&gt;"",'G2 MT Reading Scoresheet'!I92,"")</f>
        <v/>
      </c>
      <c r="J92" s="82">
        <f>IF('G2 MT Reading Scoresheet'!J92&lt;&gt;"",'G2 MT Reading Scoresheet'!J92,"")</f>
        <v/>
      </c>
      <c r="K92" s="270">
        <f>IF('G2 MT Reading Scoresheet'!K92&lt;&gt;"",'G2 MT Reading Scoresheet'!K92,"")</f>
        <v/>
      </c>
      <c r="L92" s="87">
        <f>IF('G2 MT Reading Scoresheet'!L92&lt;&gt;"",'G2 MT Reading Scoresheet'!L92,"")</f>
        <v/>
      </c>
      <c r="M92" s="118">
        <f>IF('G2 MT Reading Scoresheet'!M92&lt;&gt;"",'G2 MT Reading Scoresheet'!M92,"")</f>
        <v/>
      </c>
      <c r="N92" s="81">
        <f>IF('G2 MT Reading Scoresheet'!N92&lt;&gt;"",'G2 MT Reading Scoresheet'!N92,"")</f>
        <v/>
      </c>
      <c r="O92" s="81">
        <f>IF('G2 MT Reading Scoresheet'!O92&lt;&gt;"",'G2 MT Reading Scoresheet'!O92,"")</f>
        <v/>
      </c>
      <c r="P92" s="118">
        <f>IF('G2 MT Reading Scoresheet'!P92&lt;&gt;"",'G2 MT Reading Scoresheet'!P92,"")</f>
        <v/>
      </c>
      <c r="Q92" s="122">
        <f>IF('G2 MT Reading Scoresheet'!Q92&lt;&gt;"",'G2 MT Reading Scoresheet'!Q92,"")</f>
        <v/>
      </c>
      <c r="R92" s="81">
        <f>IF('G2 MT Reading Scoresheet'!R92&lt;&gt;"",'G2 MT Reading Scoresheet'!R92,"")</f>
        <v/>
      </c>
      <c r="S92" s="81">
        <f>IF('G2 MT Reading Scoresheet'!S92&lt;&gt;"",'G2 MT Reading Scoresheet'!S92,"")</f>
        <v/>
      </c>
      <c r="T92" s="82">
        <f>IF('G2 MT Reading Scoresheet'!T92&lt;&gt;"",'G2 MT Reading Scoresheet'!T92,"")</f>
        <v/>
      </c>
      <c r="U92" s="87">
        <f>IF('G2 MT Reading Scoresheet'!U92&lt;&gt;"",'G2 MT Reading Scoresheet'!U92,"")</f>
        <v/>
      </c>
      <c r="V92" s="271" t="n"/>
      <c r="Y92" s="221">
        <f>IF(C92&lt;&gt;"",R92/6,"")</f>
        <v/>
      </c>
    </row>
    <row r="93" ht="14.4" customHeight="1" s="346">
      <c r="A93" s="4">
        <f>A92+1</f>
        <v/>
      </c>
      <c r="B93" s="118">
        <f>IF('G2 MT Reading Scoresheet'!B93&lt;&gt;"",'G2 MT Reading Scoresheet'!B93,"")</f>
        <v/>
      </c>
      <c r="C93" s="133">
        <f>IF('G2 MT Reading Scoresheet'!C93&lt;&gt;"",'G2 MT Reading Scoresheet'!C93,"")</f>
        <v/>
      </c>
      <c r="D93" s="134">
        <f>IF('G2 MT Reading Scoresheet'!D93&lt;&gt;"",'G2 MT Reading Scoresheet'!D93,"")</f>
        <v/>
      </c>
      <c r="E93" s="135">
        <f>IF('G2 MT Reading Scoresheet'!E93&lt;&gt;"",'G2 MT Reading Scoresheet'!E93,"")</f>
        <v/>
      </c>
      <c r="F93" s="268">
        <f>IF('G2 MT Reading Scoresheet'!F93&lt;&gt;"",'G2 MT Reading Scoresheet'!F93,"")</f>
        <v/>
      </c>
      <c r="G93" s="262">
        <f>IF('G2 MT Reading Scoresheet'!G93&lt;&gt;"",'G2 MT Reading Scoresheet'!G93,"")</f>
        <v/>
      </c>
      <c r="H93" s="273">
        <f>IF('G2 MT Reading Scoresheet'!H93&lt;&gt;"",'G2 MT Reading Scoresheet'!H93,"")</f>
        <v/>
      </c>
      <c r="I93" s="81">
        <f>IF('G2 MT Reading Scoresheet'!I93&lt;&gt;"",'G2 MT Reading Scoresheet'!I93,"")</f>
        <v/>
      </c>
      <c r="J93" s="82">
        <f>IF('G2 MT Reading Scoresheet'!J93&lt;&gt;"",'G2 MT Reading Scoresheet'!J93,"")</f>
        <v/>
      </c>
      <c r="K93" s="274">
        <f>IF('G2 MT Reading Scoresheet'!K93&lt;&gt;"",'G2 MT Reading Scoresheet'!K93,"")</f>
        <v/>
      </c>
      <c r="L93" s="275">
        <f>IF('G2 MT Reading Scoresheet'!L93&lt;&gt;"",'G2 MT Reading Scoresheet'!L93,"")</f>
        <v/>
      </c>
      <c r="M93" s="118">
        <f>IF('G2 MT Reading Scoresheet'!M93&lt;&gt;"",'G2 MT Reading Scoresheet'!M93,"")</f>
        <v/>
      </c>
      <c r="N93" s="273">
        <f>IF('G2 MT Reading Scoresheet'!N93&lt;&gt;"",'G2 MT Reading Scoresheet'!N93,"")</f>
        <v/>
      </c>
      <c r="O93" s="273">
        <f>IF('G2 MT Reading Scoresheet'!O93&lt;&gt;"",'G2 MT Reading Scoresheet'!O93,"")</f>
        <v/>
      </c>
      <c r="P93" s="118">
        <f>IF('G2 MT Reading Scoresheet'!P93&lt;&gt;"",'G2 MT Reading Scoresheet'!P93,"")</f>
        <v/>
      </c>
      <c r="Q93" s="122">
        <f>IF('G2 MT Reading Scoresheet'!Q93&lt;&gt;"",'G2 MT Reading Scoresheet'!Q93,"")</f>
        <v/>
      </c>
      <c r="R93" s="273">
        <f>IF('G2 MT Reading Scoresheet'!R93&lt;&gt;"",'G2 MT Reading Scoresheet'!R93,"")</f>
        <v/>
      </c>
      <c r="S93" s="273">
        <f>IF('G2 MT Reading Scoresheet'!S93&lt;&gt;"",'G2 MT Reading Scoresheet'!S93,"")</f>
        <v/>
      </c>
      <c r="T93" s="276">
        <f>IF('G2 MT Reading Scoresheet'!T93&lt;&gt;"",'G2 MT Reading Scoresheet'!T93,"")</f>
        <v/>
      </c>
      <c r="U93" s="87">
        <f>IF('G2 MT Reading Scoresheet'!U93&lt;&gt;"",'G2 MT Reading Scoresheet'!U93,"")</f>
        <v/>
      </c>
      <c r="V93" s="277" t="n"/>
      <c r="Y93" s="221">
        <f>IF(C93&lt;&gt;"",R93/6,"")</f>
        <v/>
      </c>
    </row>
    <row r="94" ht="14.4" customHeight="1" s="346">
      <c r="A94" s="5">
        <f>A93+1</f>
        <v/>
      </c>
      <c r="B94" s="118">
        <f>IF('G2 MT Reading Scoresheet'!B94&lt;&gt;"",'G2 MT Reading Scoresheet'!B94,"")</f>
        <v/>
      </c>
      <c r="C94" s="133">
        <f>IF('G2 MT Reading Scoresheet'!C94&lt;&gt;"",'G2 MT Reading Scoresheet'!C94,"")</f>
        <v/>
      </c>
      <c r="D94" s="134">
        <f>IF('G2 MT Reading Scoresheet'!D94&lt;&gt;"",'G2 MT Reading Scoresheet'!D94,"")</f>
        <v/>
      </c>
      <c r="E94" s="135">
        <f>IF('G2 MT Reading Scoresheet'!E94&lt;&gt;"",'G2 MT Reading Scoresheet'!E94,"")</f>
        <v/>
      </c>
      <c r="F94" s="272">
        <f>IF('G2 MT Reading Scoresheet'!F94&lt;&gt;"",'G2 MT Reading Scoresheet'!F94,"")</f>
        <v/>
      </c>
      <c r="G94" s="269">
        <f>IF('G2 MT Reading Scoresheet'!G94&lt;&gt;"",'G2 MT Reading Scoresheet'!G94,"")</f>
        <v/>
      </c>
      <c r="H94" s="81">
        <f>IF('G2 MT Reading Scoresheet'!H94&lt;&gt;"",'G2 MT Reading Scoresheet'!H94,"")</f>
        <v/>
      </c>
      <c r="I94" s="81">
        <f>IF('G2 MT Reading Scoresheet'!I94&lt;&gt;"",'G2 MT Reading Scoresheet'!I94,"")</f>
        <v/>
      </c>
      <c r="J94" s="82">
        <f>IF('G2 MT Reading Scoresheet'!J94&lt;&gt;"",'G2 MT Reading Scoresheet'!J94,"")</f>
        <v/>
      </c>
      <c r="K94" s="270">
        <f>IF('G2 MT Reading Scoresheet'!K94&lt;&gt;"",'G2 MT Reading Scoresheet'!K94,"")</f>
        <v/>
      </c>
      <c r="L94" s="87">
        <f>IF('G2 MT Reading Scoresheet'!L94&lt;&gt;"",'G2 MT Reading Scoresheet'!L94,"")</f>
        <v/>
      </c>
      <c r="M94" s="118">
        <f>IF('G2 MT Reading Scoresheet'!M94&lt;&gt;"",'G2 MT Reading Scoresheet'!M94,"")</f>
        <v/>
      </c>
      <c r="N94" s="81">
        <f>IF('G2 MT Reading Scoresheet'!N94&lt;&gt;"",'G2 MT Reading Scoresheet'!N94,"")</f>
        <v/>
      </c>
      <c r="O94" s="81">
        <f>IF('G2 MT Reading Scoresheet'!O94&lt;&gt;"",'G2 MT Reading Scoresheet'!O94,"")</f>
        <v/>
      </c>
      <c r="P94" s="118">
        <f>IF('G2 MT Reading Scoresheet'!P94&lt;&gt;"",'G2 MT Reading Scoresheet'!P94,"")</f>
        <v/>
      </c>
      <c r="Q94" s="122">
        <f>IF('G2 MT Reading Scoresheet'!Q94&lt;&gt;"",'G2 MT Reading Scoresheet'!Q94,"")</f>
        <v/>
      </c>
      <c r="R94" s="81">
        <f>IF('G2 MT Reading Scoresheet'!R94&lt;&gt;"",'G2 MT Reading Scoresheet'!R94,"")</f>
        <v/>
      </c>
      <c r="S94" s="81">
        <f>IF('G2 MT Reading Scoresheet'!S94&lt;&gt;"",'G2 MT Reading Scoresheet'!S94,"")</f>
        <v/>
      </c>
      <c r="T94" s="82">
        <f>IF('G2 MT Reading Scoresheet'!T94&lt;&gt;"",'G2 MT Reading Scoresheet'!T94,"")</f>
        <v/>
      </c>
      <c r="U94" s="87">
        <f>IF('G2 MT Reading Scoresheet'!U94&lt;&gt;"",'G2 MT Reading Scoresheet'!U94,"")</f>
        <v/>
      </c>
      <c r="V94" s="271" t="n"/>
      <c r="Y94" s="221">
        <f>IF(C94&lt;&gt;"",R94/6,"")</f>
        <v/>
      </c>
    </row>
    <row r="95" ht="14.4" customHeight="1" s="346">
      <c r="A95" s="4">
        <f>A94+1</f>
        <v/>
      </c>
      <c r="B95" s="118">
        <f>IF('G2 MT Reading Scoresheet'!B95&lt;&gt;"",'G2 MT Reading Scoresheet'!B95,"")</f>
        <v/>
      </c>
      <c r="C95" s="133">
        <f>IF('G2 MT Reading Scoresheet'!C95&lt;&gt;"",'G2 MT Reading Scoresheet'!C95,"")</f>
        <v/>
      </c>
      <c r="D95" s="134">
        <f>IF('G2 MT Reading Scoresheet'!D95&lt;&gt;"",'G2 MT Reading Scoresheet'!D95,"")</f>
        <v/>
      </c>
      <c r="E95" s="135">
        <f>IF('G2 MT Reading Scoresheet'!E95&lt;&gt;"",'G2 MT Reading Scoresheet'!E95,"")</f>
        <v/>
      </c>
      <c r="F95" s="268">
        <f>IF('G2 MT Reading Scoresheet'!F95&lt;&gt;"",'G2 MT Reading Scoresheet'!F95,"")</f>
        <v/>
      </c>
      <c r="G95" s="262">
        <f>IF('G2 MT Reading Scoresheet'!G95&lt;&gt;"",'G2 MT Reading Scoresheet'!G95,"")</f>
        <v/>
      </c>
      <c r="H95" s="273">
        <f>IF('G2 MT Reading Scoresheet'!H95&lt;&gt;"",'G2 MT Reading Scoresheet'!H95,"")</f>
        <v/>
      </c>
      <c r="I95" s="81">
        <f>IF('G2 MT Reading Scoresheet'!I95&lt;&gt;"",'G2 MT Reading Scoresheet'!I95,"")</f>
        <v/>
      </c>
      <c r="J95" s="82">
        <f>IF('G2 MT Reading Scoresheet'!J95&lt;&gt;"",'G2 MT Reading Scoresheet'!J95,"")</f>
        <v/>
      </c>
      <c r="K95" s="274">
        <f>IF('G2 MT Reading Scoresheet'!K95&lt;&gt;"",'G2 MT Reading Scoresheet'!K95,"")</f>
        <v/>
      </c>
      <c r="L95" s="275">
        <f>IF('G2 MT Reading Scoresheet'!L95&lt;&gt;"",'G2 MT Reading Scoresheet'!L95,"")</f>
        <v/>
      </c>
      <c r="M95" s="118">
        <f>IF('G2 MT Reading Scoresheet'!M95&lt;&gt;"",'G2 MT Reading Scoresheet'!M95,"")</f>
        <v/>
      </c>
      <c r="N95" s="273">
        <f>IF('G2 MT Reading Scoresheet'!N95&lt;&gt;"",'G2 MT Reading Scoresheet'!N95,"")</f>
        <v/>
      </c>
      <c r="O95" s="273">
        <f>IF('G2 MT Reading Scoresheet'!O95&lt;&gt;"",'G2 MT Reading Scoresheet'!O95,"")</f>
        <v/>
      </c>
      <c r="P95" s="118">
        <f>IF('G2 MT Reading Scoresheet'!P95&lt;&gt;"",'G2 MT Reading Scoresheet'!P95,"")</f>
        <v/>
      </c>
      <c r="Q95" s="122">
        <f>IF('G2 MT Reading Scoresheet'!Q95&lt;&gt;"",'G2 MT Reading Scoresheet'!Q95,"")</f>
        <v/>
      </c>
      <c r="R95" s="273">
        <f>IF('G2 MT Reading Scoresheet'!R95&lt;&gt;"",'G2 MT Reading Scoresheet'!R95,"")</f>
        <v/>
      </c>
      <c r="S95" s="273">
        <f>IF('G2 MT Reading Scoresheet'!S95&lt;&gt;"",'G2 MT Reading Scoresheet'!S95,"")</f>
        <v/>
      </c>
      <c r="T95" s="276">
        <f>IF('G2 MT Reading Scoresheet'!T95&lt;&gt;"",'G2 MT Reading Scoresheet'!T95,"")</f>
        <v/>
      </c>
      <c r="U95" s="87">
        <f>IF('G2 MT Reading Scoresheet'!U95&lt;&gt;"",'G2 MT Reading Scoresheet'!U95,"")</f>
        <v/>
      </c>
      <c r="V95" s="277" t="n"/>
      <c r="Y95" s="221">
        <f>IF(C95&lt;&gt;"",R95/6,"")</f>
        <v/>
      </c>
    </row>
    <row r="96" ht="14.4" customHeight="1" s="346">
      <c r="A96" s="5">
        <f>A95+1</f>
        <v/>
      </c>
      <c r="B96" s="118">
        <f>IF('G2 MT Reading Scoresheet'!B96&lt;&gt;"",'G2 MT Reading Scoresheet'!B96,"")</f>
        <v/>
      </c>
      <c r="C96" s="133">
        <f>IF('G2 MT Reading Scoresheet'!C96&lt;&gt;"",'G2 MT Reading Scoresheet'!C96,"")</f>
        <v/>
      </c>
      <c r="D96" s="134">
        <f>IF('G2 MT Reading Scoresheet'!D96&lt;&gt;"",'G2 MT Reading Scoresheet'!D96,"")</f>
        <v/>
      </c>
      <c r="E96" s="135">
        <f>IF('G2 MT Reading Scoresheet'!E96&lt;&gt;"",'G2 MT Reading Scoresheet'!E96,"")</f>
        <v/>
      </c>
      <c r="F96" s="272">
        <f>IF('G2 MT Reading Scoresheet'!F96&lt;&gt;"",'G2 MT Reading Scoresheet'!F96,"")</f>
        <v/>
      </c>
      <c r="G96" s="269">
        <f>IF('G2 MT Reading Scoresheet'!G96&lt;&gt;"",'G2 MT Reading Scoresheet'!G96,"")</f>
        <v/>
      </c>
      <c r="H96" s="81">
        <f>IF('G2 MT Reading Scoresheet'!H96&lt;&gt;"",'G2 MT Reading Scoresheet'!H96,"")</f>
        <v/>
      </c>
      <c r="I96" s="81">
        <f>IF('G2 MT Reading Scoresheet'!I96&lt;&gt;"",'G2 MT Reading Scoresheet'!I96,"")</f>
        <v/>
      </c>
      <c r="J96" s="82">
        <f>IF('G2 MT Reading Scoresheet'!J96&lt;&gt;"",'G2 MT Reading Scoresheet'!J96,"")</f>
        <v/>
      </c>
      <c r="K96" s="270">
        <f>IF('G2 MT Reading Scoresheet'!K96&lt;&gt;"",'G2 MT Reading Scoresheet'!K96,"")</f>
        <v/>
      </c>
      <c r="L96" s="87">
        <f>IF('G2 MT Reading Scoresheet'!L96&lt;&gt;"",'G2 MT Reading Scoresheet'!L96,"")</f>
        <v/>
      </c>
      <c r="M96" s="118">
        <f>IF('G2 MT Reading Scoresheet'!M96&lt;&gt;"",'G2 MT Reading Scoresheet'!M96,"")</f>
        <v/>
      </c>
      <c r="N96" s="81">
        <f>IF('G2 MT Reading Scoresheet'!N96&lt;&gt;"",'G2 MT Reading Scoresheet'!N96,"")</f>
        <v/>
      </c>
      <c r="O96" s="81">
        <f>IF('G2 MT Reading Scoresheet'!O96&lt;&gt;"",'G2 MT Reading Scoresheet'!O96,"")</f>
        <v/>
      </c>
      <c r="P96" s="118">
        <f>IF('G2 MT Reading Scoresheet'!P96&lt;&gt;"",'G2 MT Reading Scoresheet'!P96,"")</f>
        <v/>
      </c>
      <c r="Q96" s="122">
        <f>IF('G2 MT Reading Scoresheet'!Q96&lt;&gt;"",'G2 MT Reading Scoresheet'!Q96,"")</f>
        <v/>
      </c>
      <c r="R96" s="81">
        <f>IF('G2 MT Reading Scoresheet'!R96&lt;&gt;"",'G2 MT Reading Scoresheet'!R96,"")</f>
        <v/>
      </c>
      <c r="S96" s="81">
        <f>IF('G2 MT Reading Scoresheet'!S96&lt;&gt;"",'G2 MT Reading Scoresheet'!S96,"")</f>
        <v/>
      </c>
      <c r="T96" s="82">
        <f>IF('G2 MT Reading Scoresheet'!T96&lt;&gt;"",'G2 MT Reading Scoresheet'!T96,"")</f>
        <v/>
      </c>
      <c r="U96" s="87">
        <f>IF('G2 MT Reading Scoresheet'!U96&lt;&gt;"",'G2 MT Reading Scoresheet'!U96,"")</f>
        <v/>
      </c>
      <c r="V96" s="271" t="n"/>
      <c r="Y96" s="221">
        <f>IF(C96&lt;&gt;"",R96/6,"")</f>
        <v/>
      </c>
    </row>
    <row r="97" ht="14.4" customHeight="1" s="346">
      <c r="A97" s="4">
        <f>A96+1</f>
        <v/>
      </c>
      <c r="B97" s="118">
        <f>IF('G2 MT Reading Scoresheet'!B97&lt;&gt;"",'G2 MT Reading Scoresheet'!B97,"")</f>
        <v/>
      </c>
      <c r="C97" s="133">
        <f>IF('G2 MT Reading Scoresheet'!C97&lt;&gt;"",'G2 MT Reading Scoresheet'!C97,"")</f>
        <v/>
      </c>
      <c r="D97" s="134">
        <f>IF('G2 MT Reading Scoresheet'!D97&lt;&gt;"",'G2 MT Reading Scoresheet'!D97,"")</f>
        <v/>
      </c>
      <c r="E97" s="135">
        <f>IF('G2 MT Reading Scoresheet'!E97&lt;&gt;"",'G2 MT Reading Scoresheet'!E97,"")</f>
        <v/>
      </c>
      <c r="F97" s="268">
        <f>IF('G2 MT Reading Scoresheet'!F97&lt;&gt;"",'G2 MT Reading Scoresheet'!F97,"")</f>
        <v/>
      </c>
      <c r="G97" s="262">
        <f>IF('G2 MT Reading Scoresheet'!G97&lt;&gt;"",'G2 MT Reading Scoresheet'!G97,"")</f>
        <v/>
      </c>
      <c r="H97" s="273">
        <f>IF('G2 MT Reading Scoresheet'!H97&lt;&gt;"",'G2 MT Reading Scoresheet'!H97,"")</f>
        <v/>
      </c>
      <c r="I97" s="81">
        <f>IF('G2 MT Reading Scoresheet'!I97&lt;&gt;"",'G2 MT Reading Scoresheet'!I97,"")</f>
        <v/>
      </c>
      <c r="J97" s="82">
        <f>IF('G2 MT Reading Scoresheet'!J97&lt;&gt;"",'G2 MT Reading Scoresheet'!J97,"")</f>
        <v/>
      </c>
      <c r="K97" s="274">
        <f>IF('G2 MT Reading Scoresheet'!K97&lt;&gt;"",'G2 MT Reading Scoresheet'!K97,"")</f>
        <v/>
      </c>
      <c r="L97" s="275">
        <f>IF('G2 MT Reading Scoresheet'!L97&lt;&gt;"",'G2 MT Reading Scoresheet'!L97,"")</f>
        <v/>
      </c>
      <c r="M97" s="118">
        <f>IF('G2 MT Reading Scoresheet'!M97&lt;&gt;"",'G2 MT Reading Scoresheet'!M97,"")</f>
        <v/>
      </c>
      <c r="N97" s="273">
        <f>IF('G2 MT Reading Scoresheet'!N97&lt;&gt;"",'G2 MT Reading Scoresheet'!N97,"")</f>
        <v/>
      </c>
      <c r="O97" s="273">
        <f>IF('G2 MT Reading Scoresheet'!O97&lt;&gt;"",'G2 MT Reading Scoresheet'!O97,"")</f>
        <v/>
      </c>
      <c r="P97" s="118">
        <f>IF('G2 MT Reading Scoresheet'!P97&lt;&gt;"",'G2 MT Reading Scoresheet'!P97,"")</f>
        <v/>
      </c>
      <c r="Q97" s="122">
        <f>IF('G2 MT Reading Scoresheet'!Q97&lt;&gt;"",'G2 MT Reading Scoresheet'!Q97,"")</f>
        <v/>
      </c>
      <c r="R97" s="273">
        <f>IF('G2 MT Reading Scoresheet'!R97&lt;&gt;"",'G2 MT Reading Scoresheet'!R97,"")</f>
        <v/>
      </c>
      <c r="S97" s="273">
        <f>IF('G2 MT Reading Scoresheet'!S97&lt;&gt;"",'G2 MT Reading Scoresheet'!S97,"")</f>
        <v/>
      </c>
      <c r="T97" s="276">
        <f>IF('G2 MT Reading Scoresheet'!T97&lt;&gt;"",'G2 MT Reading Scoresheet'!T97,"")</f>
        <v/>
      </c>
      <c r="U97" s="87">
        <f>IF('G2 MT Reading Scoresheet'!U97&lt;&gt;"",'G2 MT Reading Scoresheet'!U97,"")</f>
        <v/>
      </c>
      <c r="V97" s="277" t="n"/>
      <c r="Y97" s="221">
        <f>IF(C97&lt;&gt;"",R97/6,"")</f>
        <v/>
      </c>
    </row>
    <row r="98" ht="14.4" customHeight="1" s="346">
      <c r="A98" s="5">
        <f>A97+1</f>
        <v/>
      </c>
      <c r="B98" s="118">
        <f>IF('G2 MT Reading Scoresheet'!B98&lt;&gt;"",'G2 MT Reading Scoresheet'!B98,"")</f>
        <v/>
      </c>
      <c r="C98" s="133">
        <f>IF('G2 MT Reading Scoresheet'!C98&lt;&gt;"",'G2 MT Reading Scoresheet'!C98,"")</f>
        <v/>
      </c>
      <c r="D98" s="134">
        <f>IF('G2 MT Reading Scoresheet'!D98&lt;&gt;"",'G2 MT Reading Scoresheet'!D98,"")</f>
        <v/>
      </c>
      <c r="E98" s="135">
        <f>IF('G2 MT Reading Scoresheet'!E98&lt;&gt;"",'G2 MT Reading Scoresheet'!E98,"")</f>
        <v/>
      </c>
      <c r="F98" s="272">
        <f>IF('G2 MT Reading Scoresheet'!F98&lt;&gt;"",'G2 MT Reading Scoresheet'!F98,"")</f>
        <v/>
      </c>
      <c r="G98" s="269">
        <f>IF('G2 MT Reading Scoresheet'!G98&lt;&gt;"",'G2 MT Reading Scoresheet'!G98,"")</f>
        <v/>
      </c>
      <c r="H98" s="81">
        <f>IF('G2 MT Reading Scoresheet'!H98&lt;&gt;"",'G2 MT Reading Scoresheet'!H98,"")</f>
        <v/>
      </c>
      <c r="I98" s="81">
        <f>IF('G2 MT Reading Scoresheet'!I98&lt;&gt;"",'G2 MT Reading Scoresheet'!I98,"")</f>
        <v/>
      </c>
      <c r="J98" s="82">
        <f>IF('G2 MT Reading Scoresheet'!J98&lt;&gt;"",'G2 MT Reading Scoresheet'!J98,"")</f>
        <v/>
      </c>
      <c r="K98" s="270">
        <f>IF('G2 MT Reading Scoresheet'!K98&lt;&gt;"",'G2 MT Reading Scoresheet'!K98,"")</f>
        <v/>
      </c>
      <c r="L98" s="87">
        <f>IF('G2 MT Reading Scoresheet'!L98&lt;&gt;"",'G2 MT Reading Scoresheet'!L98,"")</f>
        <v/>
      </c>
      <c r="M98" s="118">
        <f>IF('G2 MT Reading Scoresheet'!M98&lt;&gt;"",'G2 MT Reading Scoresheet'!M98,"")</f>
        <v/>
      </c>
      <c r="N98" s="81">
        <f>IF('G2 MT Reading Scoresheet'!N98&lt;&gt;"",'G2 MT Reading Scoresheet'!N98,"")</f>
        <v/>
      </c>
      <c r="O98" s="81">
        <f>IF('G2 MT Reading Scoresheet'!O98&lt;&gt;"",'G2 MT Reading Scoresheet'!O98,"")</f>
        <v/>
      </c>
      <c r="P98" s="118">
        <f>IF('G2 MT Reading Scoresheet'!P98&lt;&gt;"",'G2 MT Reading Scoresheet'!P98,"")</f>
        <v/>
      </c>
      <c r="Q98" s="122">
        <f>IF('G2 MT Reading Scoresheet'!Q98&lt;&gt;"",'G2 MT Reading Scoresheet'!Q98,"")</f>
        <v/>
      </c>
      <c r="R98" s="81">
        <f>IF('G2 MT Reading Scoresheet'!R98&lt;&gt;"",'G2 MT Reading Scoresheet'!R98,"")</f>
        <v/>
      </c>
      <c r="S98" s="81">
        <f>IF('G2 MT Reading Scoresheet'!S98&lt;&gt;"",'G2 MT Reading Scoresheet'!S98,"")</f>
        <v/>
      </c>
      <c r="T98" s="82">
        <f>IF('G2 MT Reading Scoresheet'!T98&lt;&gt;"",'G2 MT Reading Scoresheet'!T98,"")</f>
        <v/>
      </c>
      <c r="U98" s="87">
        <f>IF('G2 MT Reading Scoresheet'!U98&lt;&gt;"",'G2 MT Reading Scoresheet'!U98,"")</f>
        <v/>
      </c>
      <c r="V98" s="271" t="n"/>
      <c r="Y98" s="221">
        <f>IF(C98&lt;&gt;"",R98/6,"")</f>
        <v/>
      </c>
    </row>
    <row r="99" ht="14.4" customHeight="1" s="346">
      <c r="A99" s="4">
        <f>A98+1</f>
        <v/>
      </c>
      <c r="B99" s="118">
        <f>IF('G2 MT Reading Scoresheet'!B99&lt;&gt;"",'G2 MT Reading Scoresheet'!B99,"")</f>
        <v/>
      </c>
      <c r="C99" s="133">
        <f>IF('G2 MT Reading Scoresheet'!C99&lt;&gt;"",'G2 MT Reading Scoresheet'!C99,"")</f>
        <v/>
      </c>
      <c r="D99" s="134">
        <f>IF('G2 MT Reading Scoresheet'!D99&lt;&gt;"",'G2 MT Reading Scoresheet'!D99,"")</f>
        <v/>
      </c>
      <c r="E99" s="135">
        <f>IF('G2 MT Reading Scoresheet'!E99&lt;&gt;"",'G2 MT Reading Scoresheet'!E99,"")</f>
        <v/>
      </c>
      <c r="F99" s="268">
        <f>IF('G2 MT Reading Scoresheet'!F99&lt;&gt;"",'G2 MT Reading Scoresheet'!F99,"")</f>
        <v/>
      </c>
      <c r="G99" s="262">
        <f>IF('G2 MT Reading Scoresheet'!G99&lt;&gt;"",'G2 MT Reading Scoresheet'!G99,"")</f>
        <v/>
      </c>
      <c r="H99" s="273">
        <f>IF('G2 MT Reading Scoresheet'!H99&lt;&gt;"",'G2 MT Reading Scoresheet'!H99,"")</f>
        <v/>
      </c>
      <c r="I99" s="81">
        <f>IF('G2 MT Reading Scoresheet'!I99&lt;&gt;"",'G2 MT Reading Scoresheet'!I99,"")</f>
        <v/>
      </c>
      <c r="J99" s="82">
        <f>IF('G2 MT Reading Scoresheet'!J99&lt;&gt;"",'G2 MT Reading Scoresheet'!J99,"")</f>
        <v/>
      </c>
      <c r="K99" s="274">
        <f>IF('G2 MT Reading Scoresheet'!K99&lt;&gt;"",'G2 MT Reading Scoresheet'!K99,"")</f>
        <v/>
      </c>
      <c r="L99" s="275">
        <f>IF('G2 MT Reading Scoresheet'!L99&lt;&gt;"",'G2 MT Reading Scoresheet'!L99,"")</f>
        <v/>
      </c>
      <c r="M99" s="118">
        <f>IF('G2 MT Reading Scoresheet'!M99&lt;&gt;"",'G2 MT Reading Scoresheet'!M99,"")</f>
        <v/>
      </c>
      <c r="N99" s="273">
        <f>IF('G2 MT Reading Scoresheet'!N99&lt;&gt;"",'G2 MT Reading Scoresheet'!N99,"")</f>
        <v/>
      </c>
      <c r="O99" s="273">
        <f>IF('G2 MT Reading Scoresheet'!O99&lt;&gt;"",'G2 MT Reading Scoresheet'!O99,"")</f>
        <v/>
      </c>
      <c r="P99" s="118">
        <f>IF('G2 MT Reading Scoresheet'!P99&lt;&gt;"",'G2 MT Reading Scoresheet'!P99,"")</f>
        <v/>
      </c>
      <c r="Q99" s="122">
        <f>IF('G2 MT Reading Scoresheet'!Q99&lt;&gt;"",'G2 MT Reading Scoresheet'!Q99,"")</f>
        <v/>
      </c>
      <c r="R99" s="273">
        <f>IF('G2 MT Reading Scoresheet'!R99&lt;&gt;"",'G2 MT Reading Scoresheet'!R99,"")</f>
        <v/>
      </c>
      <c r="S99" s="273">
        <f>IF('G2 MT Reading Scoresheet'!S99&lt;&gt;"",'G2 MT Reading Scoresheet'!S99,"")</f>
        <v/>
      </c>
      <c r="T99" s="276">
        <f>IF('G2 MT Reading Scoresheet'!T99&lt;&gt;"",'G2 MT Reading Scoresheet'!T99,"")</f>
        <v/>
      </c>
      <c r="U99" s="87">
        <f>IF('G2 MT Reading Scoresheet'!U99&lt;&gt;"",'G2 MT Reading Scoresheet'!U99,"")</f>
        <v/>
      </c>
      <c r="V99" s="277" t="n"/>
      <c r="Y99" s="221">
        <f>IF(C99&lt;&gt;"",R99/6,"")</f>
        <v/>
      </c>
    </row>
    <row r="100" ht="14.4" customHeight="1" s="346">
      <c r="A100" s="5">
        <f>A99+1</f>
        <v/>
      </c>
      <c r="B100" s="118">
        <f>IF('G2 MT Reading Scoresheet'!B100&lt;&gt;"",'G2 MT Reading Scoresheet'!B100,"")</f>
        <v/>
      </c>
      <c r="C100" s="133">
        <f>IF('G2 MT Reading Scoresheet'!C100&lt;&gt;"",'G2 MT Reading Scoresheet'!C100,"")</f>
        <v/>
      </c>
      <c r="D100" s="134">
        <f>IF('G2 MT Reading Scoresheet'!D100&lt;&gt;"",'G2 MT Reading Scoresheet'!D100,"")</f>
        <v/>
      </c>
      <c r="E100" s="135">
        <f>IF('G2 MT Reading Scoresheet'!E100&lt;&gt;"",'G2 MT Reading Scoresheet'!E100,"")</f>
        <v/>
      </c>
      <c r="F100" s="272">
        <f>IF('G2 MT Reading Scoresheet'!F100&lt;&gt;"",'G2 MT Reading Scoresheet'!F100,"")</f>
        <v/>
      </c>
      <c r="G100" s="269">
        <f>IF('G2 MT Reading Scoresheet'!G100&lt;&gt;"",'G2 MT Reading Scoresheet'!G100,"")</f>
        <v/>
      </c>
      <c r="H100" s="81">
        <f>IF('G2 MT Reading Scoresheet'!H100&lt;&gt;"",'G2 MT Reading Scoresheet'!H100,"")</f>
        <v/>
      </c>
      <c r="I100" s="81">
        <f>IF('G2 MT Reading Scoresheet'!I100&lt;&gt;"",'G2 MT Reading Scoresheet'!I100,"")</f>
        <v/>
      </c>
      <c r="J100" s="82">
        <f>IF('G2 MT Reading Scoresheet'!J100&lt;&gt;"",'G2 MT Reading Scoresheet'!J100,"")</f>
        <v/>
      </c>
      <c r="K100" s="270">
        <f>IF('G2 MT Reading Scoresheet'!K100&lt;&gt;"",'G2 MT Reading Scoresheet'!K100,"")</f>
        <v/>
      </c>
      <c r="L100" s="87">
        <f>IF('G2 MT Reading Scoresheet'!L100&lt;&gt;"",'G2 MT Reading Scoresheet'!L100,"")</f>
        <v/>
      </c>
      <c r="M100" s="118">
        <f>IF('G2 MT Reading Scoresheet'!M100&lt;&gt;"",'G2 MT Reading Scoresheet'!M100,"")</f>
        <v/>
      </c>
      <c r="N100" s="81">
        <f>IF('G2 MT Reading Scoresheet'!N100&lt;&gt;"",'G2 MT Reading Scoresheet'!N100,"")</f>
        <v/>
      </c>
      <c r="O100" s="81">
        <f>IF('G2 MT Reading Scoresheet'!O100&lt;&gt;"",'G2 MT Reading Scoresheet'!O100,"")</f>
        <v/>
      </c>
      <c r="P100" s="118">
        <f>IF('G2 MT Reading Scoresheet'!P100&lt;&gt;"",'G2 MT Reading Scoresheet'!P100,"")</f>
        <v/>
      </c>
      <c r="Q100" s="122">
        <f>IF('G2 MT Reading Scoresheet'!Q100&lt;&gt;"",'G2 MT Reading Scoresheet'!Q100,"")</f>
        <v/>
      </c>
      <c r="R100" s="81">
        <f>IF('G2 MT Reading Scoresheet'!R100&lt;&gt;"",'G2 MT Reading Scoresheet'!R100,"")</f>
        <v/>
      </c>
      <c r="S100" s="81">
        <f>IF('G2 MT Reading Scoresheet'!S100&lt;&gt;"",'G2 MT Reading Scoresheet'!S100,"")</f>
        <v/>
      </c>
      <c r="T100" s="82">
        <f>IF('G2 MT Reading Scoresheet'!T100&lt;&gt;"",'G2 MT Reading Scoresheet'!T100,"")</f>
        <v/>
      </c>
      <c r="U100" s="87">
        <f>IF('G2 MT Reading Scoresheet'!U100&lt;&gt;"",'G2 MT Reading Scoresheet'!U100,"")</f>
        <v/>
      </c>
      <c r="V100" s="271" t="n"/>
      <c r="Y100" s="221">
        <f>IF(C100&lt;&gt;"",R100/6,"")</f>
        <v/>
      </c>
    </row>
    <row r="101" ht="14.4" customHeight="1" s="346">
      <c r="A101" s="4">
        <f>A100+1</f>
        <v/>
      </c>
      <c r="B101" s="118">
        <f>IF('G2 MT Reading Scoresheet'!B101&lt;&gt;"",'G2 MT Reading Scoresheet'!B101,"")</f>
        <v/>
      </c>
      <c r="C101" s="133">
        <f>IF('G2 MT Reading Scoresheet'!C101&lt;&gt;"",'G2 MT Reading Scoresheet'!C101,"")</f>
        <v/>
      </c>
      <c r="D101" s="134">
        <f>IF('G2 MT Reading Scoresheet'!D101&lt;&gt;"",'G2 MT Reading Scoresheet'!D101,"")</f>
        <v/>
      </c>
      <c r="E101" s="135">
        <f>IF('G2 MT Reading Scoresheet'!E101&lt;&gt;"",'G2 MT Reading Scoresheet'!E101,"")</f>
        <v/>
      </c>
      <c r="F101" s="268">
        <f>IF('G2 MT Reading Scoresheet'!F101&lt;&gt;"",'G2 MT Reading Scoresheet'!F101,"")</f>
        <v/>
      </c>
      <c r="G101" s="262">
        <f>IF('G2 MT Reading Scoresheet'!G101&lt;&gt;"",'G2 MT Reading Scoresheet'!G101,"")</f>
        <v/>
      </c>
      <c r="H101" s="273">
        <f>IF('G2 MT Reading Scoresheet'!H101&lt;&gt;"",'G2 MT Reading Scoresheet'!H101,"")</f>
        <v/>
      </c>
      <c r="I101" s="81">
        <f>IF('G2 MT Reading Scoresheet'!I101&lt;&gt;"",'G2 MT Reading Scoresheet'!I101,"")</f>
        <v/>
      </c>
      <c r="J101" s="82">
        <f>IF('G2 MT Reading Scoresheet'!J101&lt;&gt;"",'G2 MT Reading Scoresheet'!J101,"")</f>
        <v/>
      </c>
      <c r="K101" s="274">
        <f>IF('G2 MT Reading Scoresheet'!K101&lt;&gt;"",'G2 MT Reading Scoresheet'!K101,"")</f>
        <v/>
      </c>
      <c r="L101" s="275">
        <f>IF('G2 MT Reading Scoresheet'!L101&lt;&gt;"",'G2 MT Reading Scoresheet'!L101,"")</f>
        <v/>
      </c>
      <c r="M101" s="118">
        <f>IF('G2 MT Reading Scoresheet'!M101&lt;&gt;"",'G2 MT Reading Scoresheet'!M101,"")</f>
        <v/>
      </c>
      <c r="N101" s="273">
        <f>IF('G2 MT Reading Scoresheet'!N101&lt;&gt;"",'G2 MT Reading Scoresheet'!N101,"")</f>
        <v/>
      </c>
      <c r="O101" s="273">
        <f>IF('G2 MT Reading Scoresheet'!O101&lt;&gt;"",'G2 MT Reading Scoresheet'!O101,"")</f>
        <v/>
      </c>
      <c r="P101" s="118">
        <f>IF('G2 MT Reading Scoresheet'!P101&lt;&gt;"",'G2 MT Reading Scoresheet'!P101,"")</f>
        <v/>
      </c>
      <c r="Q101" s="122">
        <f>IF('G2 MT Reading Scoresheet'!Q101&lt;&gt;"",'G2 MT Reading Scoresheet'!Q101,"")</f>
        <v/>
      </c>
      <c r="R101" s="273">
        <f>IF('G2 MT Reading Scoresheet'!R101&lt;&gt;"",'G2 MT Reading Scoresheet'!R101,"")</f>
        <v/>
      </c>
      <c r="S101" s="273">
        <f>IF('G2 MT Reading Scoresheet'!S101&lt;&gt;"",'G2 MT Reading Scoresheet'!S101,"")</f>
        <v/>
      </c>
      <c r="T101" s="276">
        <f>IF('G2 MT Reading Scoresheet'!T101&lt;&gt;"",'G2 MT Reading Scoresheet'!T101,"")</f>
        <v/>
      </c>
      <c r="U101" s="87">
        <f>IF('G2 MT Reading Scoresheet'!U101&lt;&gt;"",'G2 MT Reading Scoresheet'!U101,"")</f>
        <v/>
      </c>
      <c r="V101" s="277" t="n"/>
      <c r="Y101" s="221">
        <f>IF(C101&lt;&gt;"",R101/6,"")</f>
        <v/>
      </c>
    </row>
    <row r="102" ht="14.4" customHeight="1" s="346">
      <c r="A102" s="5">
        <f>A101+1</f>
        <v/>
      </c>
      <c r="B102" s="118">
        <f>IF('G2 MT Reading Scoresheet'!B102&lt;&gt;"",'G2 MT Reading Scoresheet'!B102,"")</f>
        <v/>
      </c>
      <c r="C102" s="133">
        <f>IF('G2 MT Reading Scoresheet'!C102&lt;&gt;"",'G2 MT Reading Scoresheet'!C102,"")</f>
        <v/>
      </c>
      <c r="D102" s="134">
        <f>IF('G2 MT Reading Scoresheet'!D102&lt;&gt;"",'G2 MT Reading Scoresheet'!D102,"")</f>
        <v/>
      </c>
      <c r="E102" s="135">
        <f>IF('G2 MT Reading Scoresheet'!E102&lt;&gt;"",'G2 MT Reading Scoresheet'!E102,"")</f>
        <v/>
      </c>
      <c r="F102" s="272">
        <f>IF('G2 MT Reading Scoresheet'!F102&lt;&gt;"",'G2 MT Reading Scoresheet'!F102,"")</f>
        <v/>
      </c>
      <c r="G102" s="269">
        <f>IF('G2 MT Reading Scoresheet'!G102&lt;&gt;"",'G2 MT Reading Scoresheet'!G102,"")</f>
        <v/>
      </c>
      <c r="H102" s="81">
        <f>IF('G2 MT Reading Scoresheet'!H102&lt;&gt;"",'G2 MT Reading Scoresheet'!H102,"")</f>
        <v/>
      </c>
      <c r="I102" s="81">
        <f>IF('G2 MT Reading Scoresheet'!I102&lt;&gt;"",'G2 MT Reading Scoresheet'!I102,"")</f>
        <v/>
      </c>
      <c r="J102" s="82">
        <f>IF('G2 MT Reading Scoresheet'!J102&lt;&gt;"",'G2 MT Reading Scoresheet'!J102,"")</f>
        <v/>
      </c>
      <c r="K102" s="270">
        <f>IF('G2 MT Reading Scoresheet'!K102&lt;&gt;"",'G2 MT Reading Scoresheet'!K102,"")</f>
        <v/>
      </c>
      <c r="L102" s="87">
        <f>IF('G2 MT Reading Scoresheet'!L102&lt;&gt;"",'G2 MT Reading Scoresheet'!L102,"")</f>
        <v/>
      </c>
      <c r="M102" s="118">
        <f>IF('G2 MT Reading Scoresheet'!M102&lt;&gt;"",'G2 MT Reading Scoresheet'!M102,"")</f>
        <v/>
      </c>
      <c r="N102" s="81">
        <f>IF('G2 MT Reading Scoresheet'!N102&lt;&gt;"",'G2 MT Reading Scoresheet'!N102,"")</f>
        <v/>
      </c>
      <c r="O102" s="81">
        <f>IF('G2 MT Reading Scoresheet'!O102&lt;&gt;"",'G2 MT Reading Scoresheet'!O102,"")</f>
        <v/>
      </c>
      <c r="P102" s="118">
        <f>IF('G2 MT Reading Scoresheet'!P102&lt;&gt;"",'G2 MT Reading Scoresheet'!P102,"")</f>
        <v/>
      </c>
      <c r="Q102" s="122">
        <f>IF('G2 MT Reading Scoresheet'!Q102&lt;&gt;"",'G2 MT Reading Scoresheet'!Q102,"")</f>
        <v/>
      </c>
      <c r="R102" s="81">
        <f>IF('G2 MT Reading Scoresheet'!R102&lt;&gt;"",'G2 MT Reading Scoresheet'!R102,"")</f>
        <v/>
      </c>
      <c r="S102" s="81">
        <f>IF('G2 MT Reading Scoresheet'!S102&lt;&gt;"",'G2 MT Reading Scoresheet'!S102,"")</f>
        <v/>
      </c>
      <c r="T102" s="82">
        <f>IF('G2 MT Reading Scoresheet'!T102&lt;&gt;"",'G2 MT Reading Scoresheet'!T102,"")</f>
        <v/>
      </c>
      <c r="U102" s="87">
        <f>IF('G2 MT Reading Scoresheet'!U102&lt;&gt;"",'G2 MT Reading Scoresheet'!U102,"")</f>
        <v/>
      </c>
      <c r="V102" s="271" t="n"/>
      <c r="Y102" s="221">
        <f>IF(C102&lt;&gt;"",R102/6,"")</f>
        <v/>
      </c>
    </row>
    <row r="103" ht="14.4" customHeight="1" s="346">
      <c r="A103" s="4">
        <f>A102+1</f>
        <v/>
      </c>
      <c r="B103" s="118">
        <f>IF('G2 MT Reading Scoresheet'!B103&lt;&gt;"",'G2 MT Reading Scoresheet'!B103,"")</f>
        <v/>
      </c>
      <c r="C103" s="133">
        <f>IF('G2 MT Reading Scoresheet'!C103&lt;&gt;"",'G2 MT Reading Scoresheet'!C103,"")</f>
        <v/>
      </c>
      <c r="D103" s="134">
        <f>IF('G2 MT Reading Scoresheet'!D103&lt;&gt;"",'G2 MT Reading Scoresheet'!D103,"")</f>
        <v/>
      </c>
      <c r="E103" s="135">
        <f>IF('G2 MT Reading Scoresheet'!E103&lt;&gt;"",'G2 MT Reading Scoresheet'!E103,"")</f>
        <v/>
      </c>
      <c r="F103" s="268">
        <f>IF('G2 MT Reading Scoresheet'!F103&lt;&gt;"",'G2 MT Reading Scoresheet'!F103,"")</f>
        <v/>
      </c>
      <c r="G103" s="262">
        <f>IF('G2 MT Reading Scoresheet'!G103&lt;&gt;"",'G2 MT Reading Scoresheet'!G103,"")</f>
        <v/>
      </c>
      <c r="H103" s="273">
        <f>IF('G2 MT Reading Scoresheet'!H103&lt;&gt;"",'G2 MT Reading Scoresheet'!H103,"")</f>
        <v/>
      </c>
      <c r="I103" s="81">
        <f>IF('G2 MT Reading Scoresheet'!I103&lt;&gt;"",'G2 MT Reading Scoresheet'!I103,"")</f>
        <v/>
      </c>
      <c r="J103" s="82">
        <f>IF('G2 MT Reading Scoresheet'!J103&lt;&gt;"",'G2 MT Reading Scoresheet'!J103,"")</f>
        <v/>
      </c>
      <c r="K103" s="274">
        <f>IF('G2 MT Reading Scoresheet'!K103&lt;&gt;"",'G2 MT Reading Scoresheet'!K103,"")</f>
        <v/>
      </c>
      <c r="L103" s="275">
        <f>IF('G2 MT Reading Scoresheet'!L103&lt;&gt;"",'G2 MT Reading Scoresheet'!L103,"")</f>
        <v/>
      </c>
      <c r="M103" s="118">
        <f>IF('G2 MT Reading Scoresheet'!M103&lt;&gt;"",'G2 MT Reading Scoresheet'!M103,"")</f>
        <v/>
      </c>
      <c r="N103" s="273">
        <f>IF('G2 MT Reading Scoresheet'!N103&lt;&gt;"",'G2 MT Reading Scoresheet'!N103,"")</f>
        <v/>
      </c>
      <c r="O103" s="273">
        <f>IF('G2 MT Reading Scoresheet'!O103&lt;&gt;"",'G2 MT Reading Scoresheet'!O103,"")</f>
        <v/>
      </c>
      <c r="P103" s="118">
        <f>IF('G2 MT Reading Scoresheet'!P103&lt;&gt;"",'G2 MT Reading Scoresheet'!P103,"")</f>
        <v/>
      </c>
      <c r="Q103" s="122">
        <f>IF('G2 MT Reading Scoresheet'!Q103&lt;&gt;"",'G2 MT Reading Scoresheet'!Q103,"")</f>
        <v/>
      </c>
      <c r="R103" s="273">
        <f>IF('G2 MT Reading Scoresheet'!R103&lt;&gt;"",'G2 MT Reading Scoresheet'!R103,"")</f>
        <v/>
      </c>
      <c r="S103" s="273">
        <f>IF('G2 MT Reading Scoresheet'!S103&lt;&gt;"",'G2 MT Reading Scoresheet'!S103,"")</f>
        <v/>
      </c>
      <c r="T103" s="276">
        <f>IF('G2 MT Reading Scoresheet'!T103&lt;&gt;"",'G2 MT Reading Scoresheet'!T103,"")</f>
        <v/>
      </c>
      <c r="U103" s="87">
        <f>IF('G2 MT Reading Scoresheet'!U103&lt;&gt;"",'G2 MT Reading Scoresheet'!U103,"")</f>
        <v/>
      </c>
      <c r="V103" s="277" t="n"/>
      <c r="Y103" s="221">
        <f>IF(C103&lt;&gt;"",R103/6,"")</f>
        <v/>
      </c>
    </row>
    <row r="104" ht="14.4" customHeight="1" s="346">
      <c r="A104" s="5">
        <f>A103+1</f>
        <v/>
      </c>
      <c r="B104" s="118">
        <f>IF('G2 MT Reading Scoresheet'!B104&lt;&gt;"",'G2 MT Reading Scoresheet'!B104,"")</f>
        <v/>
      </c>
      <c r="C104" s="133">
        <f>IF('G2 MT Reading Scoresheet'!C104&lt;&gt;"",'G2 MT Reading Scoresheet'!C104,"")</f>
        <v/>
      </c>
      <c r="D104" s="134">
        <f>IF('G2 MT Reading Scoresheet'!D104&lt;&gt;"",'G2 MT Reading Scoresheet'!D104,"")</f>
        <v/>
      </c>
      <c r="E104" s="135">
        <f>IF('G2 MT Reading Scoresheet'!E104&lt;&gt;"",'G2 MT Reading Scoresheet'!E104,"")</f>
        <v/>
      </c>
      <c r="F104" s="272">
        <f>IF('G2 MT Reading Scoresheet'!F104&lt;&gt;"",'G2 MT Reading Scoresheet'!F104,"")</f>
        <v/>
      </c>
      <c r="G104" s="269">
        <f>IF('G2 MT Reading Scoresheet'!G104&lt;&gt;"",'G2 MT Reading Scoresheet'!G104,"")</f>
        <v/>
      </c>
      <c r="H104" s="81">
        <f>IF('G2 MT Reading Scoresheet'!H104&lt;&gt;"",'G2 MT Reading Scoresheet'!H104,"")</f>
        <v/>
      </c>
      <c r="I104" s="81">
        <f>IF('G2 MT Reading Scoresheet'!I104&lt;&gt;"",'G2 MT Reading Scoresheet'!I104,"")</f>
        <v/>
      </c>
      <c r="J104" s="82">
        <f>IF('G2 MT Reading Scoresheet'!J104&lt;&gt;"",'G2 MT Reading Scoresheet'!J104,"")</f>
        <v/>
      </c>
      <c r="K104" s="270">
        <f>IF('G2 MT Reading Scoresheet'!K104&lt;&gt;"",'G2 MT Reading Scoresheet'!K104,"")</f>
        <v/>
      </c>
      <c r="L104" s="87">
        <f>IF('G2 MT Reading Scoresheet'!L104&lt;&gt;"",'G2 MT Reading Scoresheet'!L104,"")</f>
        <v/>
      </c>
      <c r="M104" s="118">
        <f>IF('G2 MT Reading Scoresheet'!M104&lt;&gt;"",'G2 MT Reading Scoresheet'!M104,"")</f>
        <v/>
      </c>
      <c r="N104" s="81">
        <f>IF('G2 MT Reading Scoresheet'!N104&lt;&gt;"",'G2 MT Reading Scoresheet'!N104,"")</f>
        <v/>
      </c>
      <c r="O104" s="81">
        <f>IF('G2 MT Reading Scoresheet'!O104&lt;&gt;"",'G2 MT Reading Scoresheet'!O104,"")</f>
        <v/>
      </c>
      <c r="P104" s="118">
        <f>IF('G2 MT Reading Scoresheet'!P104&lt;&gt;"",'G2 MT Reading Scoresheet'!P104,"")</f>
        <v/>
      </c>
      <c r="Q104" s="122">
        <f>IF('G2 MT Reading Scoresheet'!Q104&lt;&gt;"",'G2 MT Reading Scoresheet'!Q104,"")</f>
        <v/>
      </c>
      <c r="R104" s="81">
        <f>IF('G2 MT Reading Scoresheet'!R104&lt;&gt;"",'G2 MT Reading Scoresheet'!R104,"")</f>
        <v/>
      </c>
      <c r="S104" s="81">
        <f>IF('G2 MT Reading Scoresheet'!S104&lt;&gt;"",'G2 MT Reading Scoresheet'!S104,"")</f>
        <v/>
      </c>
      <c r="T104" s="82">
        <f>IF('G2 MT Reading Scoresheet'!T104&lt;&gt;"",'G2 MT Reading Scoresheet'!T104,"")</f>
        <v/>
      </c>
      <c r="U104" s="87">
        <f>IF('G2 MT Reading Scoresheet'!U104&lt;&gt;"",'G2 MT Reading Scoresheet'!U104,"")</f>
        <v/>
      </c>
      <c r="V104" s="271" t="n"/>
      <c r="Y104" s="221">
        <f>IF(C104&lt;&gt;"",R104/6,"")</f>
        <v/>
      </c>
    </row>
    <row r="105" ht="14.4" customHeight="1" s="346">
      <c r="A105" s="4">
        <f>A104+1</f>
        <v/>
      </c>
      <c r="B105" s="118">
        <f>IF('G2 MT Reading Scoresheet'!B105&lt;&gt;"",'G2 MT Reading Scoresheet'!B105,"")</f>
        <v/>
      </c>
      <c r="C105" s="133">
        <f>IF('G2 MT Reading Scoresheet'!C105&lt;&gt;"",'G2 MT Reading Scoresheet'!C105,"")</f>
        <v/>
      </c>
      <c r="D105" s="134">
        <f>IF('G2 MT Reading Scoresheet'!D105&lt;&gt;"",'G2 MT Reading Scoresheet'!D105,"")</f>
        <v/>
      </c>
      <c r="E105" s="135">
        <f>IF('G2 MT Reading Scoresheet'!E105&lt;&gt;"",'G2 MT Reading Scoresheet'!E105,"")</f>
        <v/>
      </c>
      <c r="F105" s="268">
        <f>IF('G2 MT Reading Scoresheet'!F105&lt;&gt;"",'G2 MT Reading Scoresheet'!F105,"")</f>
        <v/>
      </c>
      <c r="G105" s="262">
        <f>IF('G2 MT Reading Scoresheet'!G105&lt;&gt;"",'G2 MT Reading Scoresheet'!G105,"")</f>
        <v/>
      </c>
      <c r="H105" s="273">
        <f>IF('G2 MT Reading Scoresheet'!H105&lt;&gt;"",'G2 MT Reading Scoresheet'!H105,"")</f>
        <v/>
      </c>
      <c r="I105" s="81">
        <f>IF('G2 MT Reading Scoresheet'!I105&lt;&gt;"",'G2 MT Reading Scoresheet'!I105,"")</f>
        <v/>
      </c>
      <c r="J105" s="82">
        <f>IF('G2 MT Reading Scoresheet'!J105&lt;&gt;"",'G2 MT Reading Scoresheet'!J105,"")</f>
        <v/>
      </c>
      <c r="K105" s="274">
        <f>IF('G2 MT Reading Scoresheet'!K105&lt;&gt;"",'G2 MT Reading Scoresheet'!K105,"")</f>
        <v/>
      </c>
      <c r="L105" s="275">
        <f>IF('G2 MT Reading Scoresheet'!L105&lt;&gt;"",'G2 MT Reading Scoresheet'!L105,"")</f>
        <v/>
      </c>
      <c r="M105" s="118">
        <f>IF('G2 MT Reading Scoresheet'!M105&lt;&gt;"",'G2 MT Reading Scoresheet'!M105,"")</f>
        <v/>
      </c>
      <c r="N105" s="273">
        <f>IF('G2 MT Reading Scoresheet'!N105&lt;&gt;"",'G2 MT Reading Scoresheet'!N105,"")</f>
        <v/>
      </c>
      <c r="O105" s="273">
        <f>IF('G2 MT Reading Scoresheet'!O105&lt;&gt;"",'G2 MT Reading Scoresheet'!O105,"")</f>
        <v/>
      </c>
      <c r="P105" s="118">
        <f>IF('G2 MT Reading Scoresheet'!P105&lt;&gt;"",'G2 MT Reading Scoresheet'!P105,"")</f>
        <v/>
      </c>
      <c r="Q105" s="122">
        <f>IF('G2 MT Reading Scoresheet'!Q105&lt;&gt;"",'G2 MT Reading Scoresheet'!Q105,"")</f>
        <v/>
      </c>
      <c r="R105" s="273">
        <f>IF('G2 MT Reading Scoresheet'!R105&lt;&gt;"",'G2 MT Reading Scoresheet'!R105,"")</f>
        <v/>
      </c>
      <c r="S105" s="273">
        <f>IF('G2 MT Reading Scoresheet'!S105&lt;&gt;"",'G2 MT Reading Scoresheet'!S105,"")</f>
        <v/>
      </c>
      <c r="T105" s="276">
        <f>IF('G2 MT Reading Scoresheet'!T105&lt;&gt;"",'G2 MT Reading Scoresheet'!T105,"")</f>
        <v/>
      </c>
      <c r="U105" s="87">
        <f>IF('G2 MT Reading Scoresheet'!U105&lt;&gt;"",'G2 MT Reading Scoresheet'!U105,"")</f>
        <v/>
      </c>
      <c r="V105" s="277" t="n"/>
      <c r="Y105" s="221">
        <f>IF(C105&lt;&gt;"",R105/6,"")</f>
        <v/>
      </c>
    </row>
    <row r="106" ht="14.4" customHeight="1" s="346">
      <c r="A106" s="5">
        <f>A105+1</f>
        <v/>
      </c>
      <c r="B106" s="118">
        <f>IF('G2 MT Reading Scoresheet'!B106&lt;&gt;"",'G2 MT Reading Scoresheet'!B106,"")</f>
        <v/>
      </c>
      <c r="C106" s="133">
        <f>IF('G2 MT Reading Scoresheet'!C106&lt;&gt;"",'G2 MT Reading Scoresheet'!C106,"")</f>
        <v/>
      </c>
      <c r="D106" s="134">
        <f>IF('G2 MT Reading Scoresheet'!D106&lt;&gt;"",'G2 MT Reading Scoresheet'!D106,"")</f>
        <v/>
      </c>
      <c r="E106" s="135">
        <f>IF('G2 MT Reading Scoresheet'!E106&lt;&gt;"",'G2 MT Reading Scoresheet'!E106,"")</f>
        <v/>
      </c>
      <c r="F106" s="272">
        <f>IF('G2 MT Reading Scoresheet'!F106&lt;&gt;"",'G2 MT Reading Scoresheet'!F106,"")</f>
        <v/>
      </c>
      <c r="G106" s="269">
        <f>IF('G2 MT Reading Scoresheet'!G106&lt;&gt;"",'G2 MT Reading Scoresheet'!G106,"")</f>
        <v/>
      </c>
      <c r="H106" s="81">
        <f>IF('G2 MT Reading Scoresheet'!H106&lt;&gt;"",'G2 MT Reading Scoresheet'!H106,"")</f>
        <v/>
      </c>
      <c r="I106" s="81">
        <f>IF('G2 MT Reading Scoresheet'!I106&lt;&gt;"",'G2 MT Reading Scoresheet'!I106,"")</f>
        <v/>
      </c>
      <c r="J106" s="82">
        <f>IF('G2 MT Reading Scoresheet'!J106&lt;&gt;"",'G2 MT Reading Scoresheet'!J106,"")</f>
        <v/>
      </c>
      <c r="K106" s="270">
        <f>IF('G2 MT Reading Scoresheet'!K106&lt;&gt;"",'G2 MT Reading Scoresheet'!K106,"")</f>
        <v/>
      </c>
      <c r="L106" s="87">
        <f>IF('G2 MT Reading Scoresheet'!L106&lt;&gt;"",'G2 MT Reading Scoresheet'!L106,"")</f>
        <v/>
      </c>
      <c r="M106" s="118">
        <f>IF('G2 MT Reading Scoresheet'!M106&lt;&gt;"",'G2 MT Reading Scoresheet'!M106,"")</f>
        <v/>
      </c>
      <c r="N106" s="81">
        <f>IF('G2 MT Reading Scoresheet'!N106&lt;&gt;"",'G2 MT Reading Scoresheet'!N106,"")</f>
        <v/>
      </c>
      <c r="O106" s="81">
        <f>IF('G2 MT Reading Scoresheet'!O106&lt;&gt;"",'G2 MT Reading Scoresheet'!O106,"")</f>
        <v/>
      </c>
      <c r="P106" s="118">
        <f>IF('G2 MT Reading Scoresheet'!P106&lt;&gt;"",'G2 MT Reading Scoresheet'!P106,"")</f>
        <v/>
      </c>
      <c r="Q106" s="122">
        <f>IF('G2 MT Reading Scoresheet'!Q106&lt;&gt;"",'G2 MT Reading Scoresheet'!Q106,"")</f>
        <v/>
      </c>
      <c r="R106" s="81">
        <f>IF('G2 MT Reading Scoresheet'!R106&lt;&gt;"",'G2 MT Reading Scoresheet'!R106,"")</f>
        <v/>
      </c>
      <c r="S106" s="81">
        <f>IF('G2 MT Reading Scoresheet'!S106&lt;&gt;"",'G2 MT Reading Scoresheet'!S106,"")</f>
        <v/>
      </c>
      <c r="T106" s="82">
        <f>IF('G2 MT Reading Scoresheet'!T106&lt;&gt;"",'G2 MT Reading Scoresheet'!T106,"")</f>
        <v/>
      </c>
      <c r="U106" s="87">
        <f>IF('G2 MT Reading Scoresheet'!U106&lt;&gt;"",'G2 MT Reading Scoresheet'!U106,"")</f>
        <v/>
      </c>
      <c r="V106" s="271" t="n"/>
      <c r="Y106" s="221">
        <f>IF(C106&lt;&gt;"",R106/6,"")</f>
        <v/>
      </c>
    </row>
    <row r="107" ht="14.4" customHeight="1" s="346">
      <c r="A107" s="4">
        <f>A106+1</f>
        <v/>
      </c>
      <c r="B107" s="118">
        <f>IF('G2 MT Reading Scoresheet'!B107&lt;&gt;"",'G2 MT Reading Scoresheet'!B107,"")</f>
        <v/>
      </c>
      <c r="C107" s="133">
        <f>IF('G2 MT Reading Scoresheet'!C107&lt;&gt;"",'G2 MT Reading Scoresheet'!C107,"")</f>
        <v/>
      </c>
      <c r="D107" s="134">
        <f>IF('G2 MT Reading Scoresheet'!D107&lt;&gt;"",'G2 MT Reading Scoresheet'!D107,"")</f>
        <v/>
      </c>
      <c r="E107" s="135">
        <f>IF('G2 MT Reading Scoresheet'!E107&lt;&gt;"",'G2 MT Reading Scoresheet'!E107,"")</f>
        <v/>
      </c>
      <c r="F107" s="268">
        <f>IF('G2 MT Reading Scoresheet'!F107&lt;&gt;"",'G2 MT Reading Scoresheet'!F107,"")</f>
        <v/>
      </c>
      <c r="G107" s="262">
        <f>IF('G2 MT Reading Scoresheet'!G107&lt;&gt;"",'G2 MT Reading Scoresheet'!G107,"")</f>
        <v/>
      </c>
      <c r="H107" s="273">
        <f>IF('G2 MT Reading Scoresheet'!H107&lt;&gt;"",'G2 MT Reading Scoresheet'!H107,"")</f>
        <v/>
      </c>
      <c r="I107" s="81">
        <f>IF('G2 MT Reading Scoresheet'!I107&lt;&gt;"",'G2 MT Reading Scoresheet'!I107,"")</f>
        <v/>
      </c>
      <c r="J107" s="82">
        <f>IF('G2 MT Reading Scoresheet'!J107&lt;&gt;"",'G2 MT Reading Scoresheet'!J107,"")</f>
        <v/>
      </c>
      <c r="K107" s="274">
        <f>IF('G2 MT Reading Scoresheet'!K107&lt;&gt;"",'G2 MT Reading Scoresheet'!K107,"")</f>
        <v/>
      </c>
      <c r="L107" s="275">
        <f>IF('G2 MT Reading Scoresheet'!L107&lt;&gt;"",'G2 MT Reading Scoresheet'!L107,"")</f>
        <v/>
      </c>
      <c r="M107" s="118">
        <f>IF('G2 MT Reading Scoresheet'!M107&lt;&gt;"",'G2 MT Reading Scoresheet'!M107,"")</f>
        <v/>
      </c>
      <c r="N107" s="273">
        <f>IF('G2 MT Reading Scoresheet'!N107&lt;&gt;"",'G2 MT Reading Scoresheet'!N107,"")</f>
        <v/>
      </c>
      <c r="O107" s="273">
        <f>IF('G2 MT Reading Scoresheet'!O107&lt;&gt;"",'G2 MT Reading Scoresheet'!O107,"")</f>
        <v/>
      </c>
      <c r="P107" s="118">
        <f>IF('G2 MT Reading Scoresheet'!P107&lt;&gt;"",'G2 MT Reading Scoresheet'!P107,"")</f>
        <v/>
      </c>
      <c r="Q107" s="122">
        <f>IF('G2 MT Reading Scoresheet'!Q107&lt;&gt;"",'G2 MT Reading Scoresheet'!Q107,"")</f>
        <v/>
      </c>
      <c r="R107" s="273">
        <f>IF('G2 MT Reading Scoresheet'!R107&lt;&gt;"",'G2 MT Reading Scoresheet'!R107,"")</f>
        <v/>
      </c>
      <c r="S107" s="273">
        <f>IF('G2 MT Reading Scoresheet'!S107&lt;&gt;"",'G2 MT Reading Scoresheet'!S107,"")</f>
        <v/>
      </c>
      <c r="T107" s="276">
        <f>IF('G2 MT Reading Scoresheet'!T107&lt;&gt;"",'G2 MT Reading Scoresheet'!T107,"")</f>
        <v/>
      </c>
      <c r="U107" s="87">
        <f>IF('G2 MT Reading Scoresheet'!U107&lt;&gt;"",'G2 MT Reading Scoresheet'!U107,"")</f>
        <v/>
      </c>
      <c r="V107" s="277" t="n"/>
      <c r="Y107" s="221">
        <f>IF(C107&lt;&gt;"",R107/6,"")</f>
        <v/>
      </c>
    </row>
    <row r="108" ht="14.4" customHeight="1" s="346">
      <c r="A108" s="5">
        <f>A107+1</f>
        <v/>
      </c>
      <c r="B108" s="118">
        <f>IF('G2 MT Reading Scoresheet'!B108&lt;&gt;"",'G2 MT Reading Scoresheet'!B108,"")</f>
        <v/>
      </c>
      <c r="C108" s="133">
        <f>IF('G2 MT Reading Scoresheet'!C108&lt;&gt;"",'G2 MT Reading Scoresheet'!C108,"")</f>
        <v/>
      </c>
      <c r="D108" s="134">
        <f>IF('G2 MT Reading Scoresheet'!D108&lt;&gt;"",'G2 MT Reading Scoresheet'!D108,"")</f>
        <v/>
      </c>
      <c r="E108" s="135">
        <f>IF('G2 MT Reading Scoresheet'!E108&lt;&gt;"",'G2 MT Reading Scoresheet'!E108,"")</f>
        <v/>
      </c>
      <c r="F108" s="272">
        <f>IF('G2 MT Reading Scoresheet'!F108&lt;&gt;"",'G2 MT Reading Scoresheet'!F108,"")</f>
        <v/>
      </c>
      <c r="G108" s="269">
        <f>IF('G2 MT Reading Scoresheet'!G108&lt;&gt;"",'G2 MT Reading Scoresheet'!G108,"")</f>
        <v/>
      </c>
      <c r="H108" s="81">
        <f>IF('G2 MT Reading Scoresheet'!H108&lt;&gt;"",'G2 MT Reading Scoresheet'!H108,"")</f>
        <v/>
      </c>
      <c r="I108" s="81">
        <f>IF('G2 MT Reading Scoresheet'!I108&lt;&gt;"",'G2 MT Reading Scoresheet'!I108,"")</f>
        <v/>
      </c>
      <c r="J108" s="82">
        <f>IF('G2 MT Reading Scoresheet'!J108&lt;&gt;"",'G2 MT Reading Scoresheet'!J108,"")</f>
        <v/>
      </c>
      <c r="K108" s="270">
        <f>IF('G2 MT Reading Scoresheet'!K108&lt;&gt;"",'G2 MT Reading Scoresheet'!K108,"")</f>
        <v/>
      </c>
      <c r="L108" s="87">
        <f>IF('G2 MT Reading Scoresheet'!L108&lt;&gt;"",'G2 MT Reading Scoresheet'!L108,"")</f>
        <v/>
      </c>
      <c r="M108" s="118">
        <f>IF('G2 MT Reading Scoresheet'!M108&lt;&gt;"",'G2 MT Reading Scoresheet'!M108,"")</f>
        <v/>
      </c>
      <c r="N108" s="81">
        <f>IF('G2 MT Reading Scoresheet'!N108&lt;&gt;"",'G2 MT Reading Scoresheet'!N108,"")</f>
        <v/>
      </c>
      <c r="O108" s="81">
        <f>IF('G2 MT Reading Scoresheet'!O108&lt;&gt;"",'G2 MT Reading Scoresheet'!O108,"")</f>
        <v/>
      </c>
      <c r="P108" s="118">
        <f>IF('G2 MT Reading Scoresheet'!P108&lt;&gt;"",'G2 MT Reading Scoresheet'!P108,"")</f>
        <v/>
      </c>
      <c r="Q108" s="122">
        <f>IF('G2 MT Reading Scoresheet'!Q108&lt;&gt;"",'G2 MT Reading Scoresheet'!Q108,"")</f>
        <v/>
      </c>
      <c r="R108" s="81">
        <f>IF('G2 MT Reading Scoresheet'!R108&lt;&gt;"",'G2 MT Reading Scoresheet'!R108,"")</f>
        <v/>
      </c>
      <c r="S108" s="81">
        <f>IF('G2 MT Reading Scoresheet'!S108&lt;&gt;"",'G2 MT Reading Scoresheet'!S108,"")</f>
        <v/>
      </c>
      <c r="T108" s="82">
        <f>IF('G2 MT Reading Scoresheet'!T108&lt;&gt;"",'G2 MT Reading Scoresheet'!T108,"")</f>
        <v/>
      </c>
      <c r="U108" s="87">
        <f>IF('G2 MT Reading Scoresheet'!U108&lt;&gt;"",'G2 MT Reading Scoresheet'!U108,"")</f>
        <v/>
      </c>
      <c r="V108" s="271" t="n"/>
      <c r="Y108" s="221">
        <f>IF(C108&lt;&gt;"",R108/6,"")</f>
        <v/>
      </c>
    </row>
    <row r="109" ht="14.4" customHeight="1" s="346">
      <c r="A109" s="4">
        <f>A108+1</f>
        <v/>
      </c>
      <c r="B109" s="118">
        <f>IF('G2 MT Reading Scoresheet'!B109&lt;&gt;"",'G2 MT Reading Scoresheet'!B109,"")</f>
        <v/>
      </c>
      <c r="C109" s="133">
        <f>IF('G2 MT Reading Scoresheet'!C109&lt;&gt;"",'G2 MT Reading Scoresheet'!C109,"")</f>
        <v/>
      </c>
      <c r="D109" s="134">
        <f>IF('G2 MT Reading Scoresheet'!D109&lt;&gt;"",'G2 MT Reading Scoresheet'!D109,"")</f>
        <v/>
      </c>
      <c r="E109" s="135">
        <f>IF('G2 MT Reading Scoresheet'!E109&lt;&gt;"",'G2 MT Reading Scoresheet'!E109,"")</f>
        <v/>
      </c>
      <c r="F109" s="268">
        <f>IF('G2 MT Reading Scoresheet'!F109&lt;&gt;"",'G2 MT Reading Scoresheet'!F109,"")</f>
        <v/>
      </c>
      <c r="G109" s="262">
        <f>IF('G2 MT Reading Scoresheet'!G109&lt;&gt;"",'G2 MT Reading Scoresheet'!G109,"")</f>
        <v/>
      </c>
      <c r="H109" s="273">
        <f>IF('G2 MT Reading Scoresheet'!H109&lt;&gt;"",'G2 MT Reading Scoresheet'!H109,"")</f>
        <v/>
      </c>
      <c r="I109" s="81">
        <f>IF('G2 MT Reading Scoresheet'!I109&lt;&gt;"",'G2 MT Reading Scoresheet'!I109,"")</f>
        <v/>
      </c>
      <c r="J109" s="82">
        <f>IF('G2 MT Reading Scoresheet'!J109&lt;&gt;"",'G2 MT Reading Scoresheet'!J109,"")</f>
        <v/>
      </c>
      <c r="K109" s="274">
        <f>IF('G2 MT Reading Scoresheet'!K109&lt;&gt;"",'G2 MT Reading Scoresheet'!K109,"")</f>
        <v/>
      </c>
      <c r="L109" s="275">
        <f>IF('G2 MT Reading Scoresheet'!L109&lt;&gt;"",'G2 MT Reading Scoresheet'!L109,"")</f>
        <v/>
      </c>
      <c r="M109" s="118">
        <f>IF('G2 MT Reading Scoresheet'!M109&lt;&gt;"",'G2 MT Reading Scoresheet'!M109,"")</f>
        <v/>
      </c>
      <c r="N109" s="273">
        <f>IF('G2 MT Reading Scoresheet'!N109&lt;&gt;"",'G2 MT Reading Scoresheet'!N109,"")</f>
        <v/>
      </c>
      <c r="O109" s="273">
        <f>IF('G2 MT Reading Scoresheet'!O109&lt;&gt;"",'G2 MT Reading Scoresheet'!O109,"")</f>
        <v/>
      </c>
      <c r="P109" s="118">
        <f>IF('G2 MT Reading Scoresheet'!P109&lt;&gt;"",'G2 MT Reading Scoresheet'!P109,"")</f>
        <v/>
      </c>
      <c r="Q109" s="122">
        <f>IF('G2 MT Reading Scoresheet'!Q109&lt;&gt;"",'G2 MT Reading Scoresheet'!Q109,"")</f>
        <v/>
      </c>
      <c r="R109" s="273">
        <f>IF('G2 MT Reading Scoresheet'!R109&lt;&gt;"",'G2 MT Reading Scoresheet'!R109,"")</f>
        <v/>
      </c>
      <c r="S109" s="273">
        <f>IF('G2 MT Reading Scoresheet'!S109&lt;&gt;"",'G2 MT Reading Scoresheet'!S109,"")</f>
        <v/>
      </c>
      <c r="T109" s="276">
        <f>IF('G2 MT Reading Scoresheet'!T109&lt;&gt;"",'G2 MT Reading Scoresheet'!T109,"")</f>
        <v/>
      </c>
      <c r="U109" s="87">
        <f>IF('G2 MT Reading Scoresheet'!U109&lt;&gt;"",'G2 MT Reading Scoresheet'!U109,"")</f>
        <v/>
      </c>
      <c r="V109" s="277" t="n"/>
      <c r="Y109" s="221">
        <f>IF(C109&lt;&gt;"",R109/6,"")</f>
        <v/>
      </c>
    </row>
    <row r="110" ht="15" customHeight="1" s="346" thickBot="1">
      <c r="A110" s="6" t="n">
        <v>100</v>
      </c>
      <c r="B110" s="119">
        <f>IF('G2 MT Reading Scoresheet'!B110&lt;&gt;"",'G2 MT Reading Scoresheet'!B110,"")</f>
        <v/>
      </c>
      <c r="C110" s="136">
        <f>IF('G2 MT Reading Scoresheet'!C110&lt;&gt;"",'G2 MT Reading Scoresheet'!C110,"")</f>
        <v/>
      </c>
      <c r="D110" s="137">
        <f>IF('G2 MT Reading Scoresheet'!D110&lt;&gt;"",'G2 MT Reading Scoresheet'!D110,"")</f>
        <v/>
      </c>
      <c r="E110" s="138">
        <f>IF('G2 MT Reading Scoresheet'!E110&lt;&gt;"",'G2 MT Reading Scoresheet'!E110,"")</f>
        <v/>
      </c>
      <c r="F110" s="278">
        <f>IF('G2 MT Reading Scoresheet'!F110&lt;&gt;"",'G2 MT Reading Scoresheet'!F110,"")</f>
        <v/>
      </c>
      <c r="G110" s="279">
        <f>IF('G2 MT Reading Scoresheet'!G110&lt;&gt;"",'G2 MT Reading Scoresheet'!G110,"")</f>
        <v/>
      </c>
      <c r="H110" s="104">
        <f>IF('G2 MT Reading Scoresheet'!H110&lt;&gt;"",'G2 MT Reading Scoresheet'!H110,"")</f>
        <v/>
      </c>
      <c r="I110" s="104">
        <f>IF('G2 MT Reading Scoresheet'!I110&lt;&gt;"",'G2 MT Reading Scoresheet'!I110,"")</f>
        <v/>
      </c>
      <c r="J110" s="105">
        <f>IF('G2 MT Reading Scoresheet'!J110&lt;&gt;"",'G2 MT Reading Scoresheet'!J110,"")</f>
        <v/>
      </c>
      <c r="K110" s="280">
        <f>IF('G2 MT Reading Scoresheet'!K110&lt;&gt;"",'G2 MT Reading Scoresheet'!K110,"")</f>
        <v/>
      </c>
      <c r="L110" s="109">
        <f>IF('G2 MT Reading Scoresheet'!L110&lt;&gt;"",'G2 MT Reading Scoresheet'!L110,"")</f>
        <v/>
      </c>
      <c r="M110" s="119">
        <f>IF('G2 MT Reading Scoresheet'!M110&lt;&gt;"",'G2 MT Reading Scoresheet'!M110,"")</f>
        <v/>
      </c>
      <c r="N110" s="104">
        <f>IF('G2 MT Reading Scoresheet'!N110&lt;&gt;"",'G2 MT Reading Scoresheet'!N110,"")</f>
        <v/>
      </c>
      <c r="O110" s="104">
        <f>IF('G2 MT Reading Scoresheet'!O110&lt;&gt;"",'G2 MT Reading Scoresheet'!O110,"")</f>
        <v/>
      </c>
      <c r="P110" s="119">
        <f>IF('G2 MT Reading Scoresheet'!P110&lt;&gt;"",'G2 MT Reading Scoresheet'!P110,"")</f>
        <v/>
      </c>
      <c r="Q110" s="123">
        <f>IF('G2 MT Reading Scoresheet'!Q110&lt;&gt;"",'G2 MT Reading Scoresheet'!Q110,"")</f>
        <v/>
      </c>
      <c r="R110" s="104">
        <f>IF('G2 MT Reading Scoresheet'!R110&lt;&gt;"",'G2 MT Reading Scoresheet'!R110,"")</f>
        <v/>
      </c>
      <c r="S110" s="104">
        <f>IF('G2 MT Reading Scoresheet'!S110&lt;&gt;"",'G2 MT Reading Scoresheet'!S110,"")</f>
        <v/>
      </c>
      <c r="T110" s="105">
        <f>IF('G2 MT Reading Scoresheet'!T110&lt;&gt;"",'G2 MT Reading Scoresheet'!T110,"")</f>
        <v/>
      </c>
      <c r="U110" s="109">
        <f>IF('G2 MT Reading Scoresheet'!U110&lt;&gt;"",'G2 MT Reading Scoresheet'!U110,"")</f>
        <v/>
      </c>
      <c r="V110" s="281" t="n"/>
      <c r="Y110" s="221">
        <f>IF(C110&lt;&gt;"",R110/6,"")</f>
        <v/>
      </c>
    </row>
    <row r="111" ht="14.4" customHeight="1" s="346"/>
    <row r="112" ht="14.4" customHeight="1" s="346"/>
    <row r="113" ht="14.4" customHeight="1" s="346"/>
    <row r="114" ht="14.4" customHeight="1" s="346"/>
    <row r="115" ht="14.4" customHeight="1" s="346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B10:U10">
    <filterColumn colId="12" hiddenButton="0" showButton="0"/>
  </autoFilter>
  <mergeCells count="26">
    <mergeCell ref="N7:O7"/>
    <mergeCell ref="H7:H9"/>
    <mergeCell ref="F5:I6"/>
    <mergeCell ref="A6:B6"/>
    <mergeCell ref="A7:B7"/>
    <mergeCell ref="L8:L9"/>
    <mergeCell ref="K5:P6"/>
    <mergeCell ref="P8:P9"/>
    <mergeCell ref="A3:B3"/>
    <mergeCell ref="J5:J9"/>
    <mergeCell ref="D7:E7"/>
    <mergeCell ref="F7:F9"/>
    <mergeCell ref="K8:K9"/>
    <mergeCell ref="M8:M9"/>
    <mergeCell ref="A5:B5"/>
    <mergeCell ref="N10:O10"/>
    <mergeCell ref="Q6:T9"/>
    <mergeCell ref="D4:E4"/>
    <mergeCell ref="A8:B8"/>
    <mergeCell ref="A4:B4"/>
    <mergeCell ref="G4:H4"/>
    <mergeCell ref="G7:G9"/>
    <mergeCell ref="U6:V9"/>
    <mergeCell ref="I7:I9"/>
    <mergeCell ref="A9:B9"/>
    <mergeCell ref="N8:O9"/>
  </mergeCells>
  <conditionalFormatting sqref="C5">
    <cfRule type="containsText" priority="7" operator="containsText" dxfId="6" text="[enter school school id here]">
      <formula>NOT(ISERROR(SEARCH("[enter school school id here]",C5)))</formula>
    </cfRule>
  </conditionalFormatting>
  <conditionalFormatting sqref="C6">
    <cfRule type="containsText" priority="8" operator="containsText" dxfId="6" text="[enter teacher name here]">
      <formula>NOT(ISERROR(SEARCH("[enter teacher name here]",C6)))</formula>
    </cfRule>
  </conditionalFormatting>
  <conditionalFormatting sqref="C9">
    <cfRule type="containsText" priority="6" operator="containsText" dxfId="19" text="[choose language here]">
      <formula>NOT(ISERROR(SEARCH("[choose language here]",C9)))</formula>
    </cfRule>
  </conditionalFormatting>
  <conditionalFormatting sqref="D9:E9">
    <cfRule type="expression" priority="9" dxfId="18">
      <formula>$X$9=1</formula>
    </cfRule>
  </conditionalFormatting>
  <conditionalFormatting sqref="G11:G110">
    <cfRule type="expression" priority="13" dxfId="16">
      <formula>$F11 &gt; 6</formula>
    </cfRule>
  </conditionalFormatting>
  <conditionalFormatting sqref="H11:H110">
    <cfRule type="expression" priority="12" dxfId="16">
      <formula>$F11 &lt; 7</formula>
    </cfRule>
  </conditionalFormatting>
  <conditionalFormatting sqref="I4">
    <cfRule type="cellIs" priority="14" operator="notEqual" dxfId="15">
      <formula>$F$4</formula>
    </cfRule>
    <cfRule type="cellIs" priority="18" operator="lessThan" dxfId="0">
      <formula>#REF!+#REF!</formula>
    </cfRule>
    <cfRule type="cellIs" priority="19" operator="lessThan" dxfId="13">
      <formula>#REF!+#REF!</formula>
    </cfRule>
  </conditionalFormatting>
  <conditionalFormatting sqref="J11:J110">
    <cfRule type="containsText" priority="3" operator="containsText" dxfId="0" text="Full">
      <formula>NOT(ISERROR(SEARCH("Full",J11)))</formula>
    </cfRule>
  </conditionalFormatting>
  <conditionalFormatting sqref="K11:T110">
    <cfRule type="expression" priority="10" dxfId="11">
      <formula>$J11="Full Refresher"</formula>
    </cfRule>
  </conditionalFormatting>
  <conditionalFormatting sqref="U11:U110">
    <cfRule type="containsText" priority="1" operator="containsText" dxfId="10" text="Grade Level">
      <formula>NOT(ISERROR(SEARCH("Grade Level",U11)))</formula>
    </cfRule>
    <cfRule type="containsText" priority="2" operator="containsText" dxfId="0" text="Emerging">
      <formula>NOT(ISERROR(SEARCH("Emerging",U11)))</formula>
    </cfRule>
    <cfRule type="expression" priority="11" dxfId="8">
      <formula>AND($J11="Grade Ready",#REF!="Full Intervention")</formula>
    </cfRule>
  </conditionalFormatting>
  <dataValidations count="20">
    <dataValidation sqref="U11:V11 U12:U110" showDropDown="0" showInputMessage="1" showErrorMessage="1" allowBlank="1" error="Enter Level between 1 to 4"/>
    <dataValidation sqref="L11:L110" showDropDown="0" showInputMessage="1" showErrorMessage="1" allowBlank="1" error="Enter Number of Miscue" type="whole">
      <formula1>0</formula1>
      <formula2>96</formula2>
    </dataValidation>
    <dataValidation sqref="H11:H110" showDropDown="0" showInputMessage="1" showErrorMessage="1" allowBlank="1" errorTitle="Error Message" error="Enter value less than or equal to 10_x000a_If Task 1 score is less than 7, Sentences should be left blank or empty." type="custom">
      <formula1>AND( $F11 &gt; 6, $H11 &lt;11)</formula1>
    </dataValidation>
    <dataValidation sqref="R11:R110" showDropDown="0" showInputMessage="1" showErrorMessage="1" allowBlank="1" error="Enter Answer between 0 to 6" type="whole">
      <formula1>0</formula1>
      <formula2>6</formula2>
    </dataValidation>
    <dataValidation sqref="M11:M110" showDropDown="0" showInputMessage="1" showErrorMessage="1" allowBlank="1" errorTitle="Error Message" error="Total Number of Words must be less than or equal to 96" operator="lessThanOrEqual"/>
    <dataValidation sqref="N11:N110" showDropDown="0" showInputMessage="1" showErrorMessage="1" allowBlank="1" errorTitle="Error Message" error="Must not exceed 2 minutes" type="whole">
      <formula1>0</formula1>
      <formula2>2</formula2>
    </dataValidation>
    <dataValidation sqref="K11:K110" showDropDown="0" showInputMessage="1" showErrorMessage="1" allowBlank="1" error="Story 1 or 2" type="whole">
      <formula1>1</formula1>
      <formula2>2</formula2>
    </dataValidation>
    <dataValidation sqref="O11:O110" showDropDown="0" showInputMessage="1" showErrorMessage="1" allowBlank="1" errorTitle="Error Message" error="Number of seconds between 0 to 59" type="whole">
      <formula1>0</formula1>
      <formula2>59</formula2>
    </dataValidation>
    <dataValidation sqref="S11:S110" showDropDown="0" showInputMessage="1" showErrorMessage="1" allowBlank="1" error="Enter Leaner Experience from 1 - 5" type="whole">
      <formula1>1</formula1>
      <formula2>5</formula2>
    </dataValidation>
    <dataValidation sqref="T11:T110" showDropDown="0" showInputMessage="1" showErrorMessage="1" allowBlank="1" error="Enter Level between 1 to 4" type="list">
      <formula1>"Level 1, Level 2, Level 3, Level 4"</formula1>
    </dataValidation>
    <dataValidation sqref="D6:E6" showDropDown="0" showInputMessage="1" showErrorMessage="1" allowBlank="1" type="whole">
      <formula1>0</formula1>
      <formula2>100</formula2>
    </dataValidation>
    <dataValidation sqref="I4" showDropDown="0" showInputMessage="1" showErrorMessage="1" allowBlank="1" operator="lessThanOrEqual"/>
    <dataValidation sqref="C5" showDropDown="0" showInputMessage="1" showErrorMessage="1" allowBlank="0" error="Enter School Name" type="textLength" operator="greaterThan">
      <formula1>5</formula1>
    </dataValidation>
    <dataValidation sqref="A5 C4" showDropDown="0" showInputMessage="1" showErrorMessage="1" allowBlank="1" error="Enter the 6-digit School ID" type="whole">
      <formula1>100000</formula1>
      <formula2>999999</formula2>
    </dataValidation>
    <dataValidation sqref="C9 G4" showDropDown="0" showInputMessage="1" showErrorMessage="1" allowBlank="1" prompt="Choose Language here"/>
    <dataValidation sqref="F11:F110" showDropDown="0" showInputMessage="1" showErrorMessage="1" allowBlank="1" error="Enter Score between 0 to 10" type="whole">
      <formula1>0</formula1>
      <formula2>10</formula2>
    </dataValidation>
    <dataValidation sqref="E12:E110" showDropDown="0" showInputMessage="1" showErrorMessage="1" allowBlank="1" error="Enter the Date of Assessment in Correct Format (mm/dd/yy)" type="date" errorStyle="warning">
      <formula1>44197</formula1>
      <formula2>55153</formula2>
    </dataValidation>
    <dataValidation sqref="D12:D110" showDropDown="0" showInputMessage="1" showErrorMessage="1" allowBlank="1" type="list">
      <formula1>"Male, Female"</formula1>
    </dataValidation>
    <dataValidation sqref="D9:E9" showDropDown="0" showInputMessage="1" showErrorMessage="1" allowBlank="1" error="Total Words per Story must be between 94 to 96"/>
    <dataValidation sqref="G11:G110" showDropDown="0" showInputMessage="1" showErrorMessage="1" allowBlank="1" errorTitle="Error Message" error="Enter value less than equal to 10_x000a_If Task 1 score is greater than 6, Words should be left blank or empty." type="custom">
      <formula1>AND($F11 &lt; 7, $G11 &lt;11)</formula1>
    </dataValidation>
  </dataValidations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R108"/>
  <sheetViews>
    <sheetView workbookViewId="0">
      <pane xSplit="3" ySplit="8" topLeftCell="D24" activePane="bottomRight" state="frozen"/>
      <selection pane="topRight" activeCell="D1" sqref="D1"/>
      <selection pane="bottomLeft" activeCell="A9" sqref="A9"/>
      <selection pane="bottomRight" activeCell="T6" sqref="T6"/>
    </sheetView>
  </sheetViews>
  <sheetFormatPr baseColWidth="8" defaultColWidth="8.88671875" defaultRowHeight="14.4"/>
  <cols>
    <col width="5.5546875" customWidth="1" style="346" min="1" max="1"/>
    <col width="14.6640625" customWidth="1" style="346" min="2" max="2"/>
    <col width="30.88671875" customWidth="1" style="346" min="3" max="3"/>
    <col width="10.33203125" customWidth="1" style="295" min="4" max="4"/>
    <col width="20.33203125" customWidth="1" style="7" min="5" max="5"/>
    <col width="10" customWidth="1" style="7" min="6" max="6"/>
    <col width="9.5546875" customWidth="1" style="7" min="7" max="7"/>
    <col width="13.5546875" customWidth="1" style="7" min="8" max="8"/>
    <col width="9.44140625" customWidth="1" style="7" min="9" max="9"/>
    <col width="25.6640625" customWidth="1" style="295" min="10" max="10"/>
    <col width="19" customWidth="1" style="7" min="11" max="11"/>
    <col width="9.109375" customWidth="1" style="7" min="12" max="12"/>
    <col width="8.6640625" customWidth="1" style="7" min="13" max="13"/>
    <col width="14.44140625" customWidth="1" style="7" min="14" max="14"/>
    <col width="8.33203125" customWidth="1" style="7" min="15" max="15"/>
    <col width="25.6640625" customWidth="1" style="295" min="16" max="16"/>
    <col width="40.33203125" customWidth="1" style="295" min="17" max="17"/>
    <col width="5.109375" customWidth="1" style="346" min="18" max="18"/>
    <col width="8.88671875" customWidth="1" style="346" min="19" max="22"/>
    <col width="13.6640625" customWidth="1" style="346" min="23" max="24"/>
    <col width="8.88671875" customWidth="1" style="346" min="25" max="25"/>
    <col width="13.6640625" customWidth="1" style="346" min="26" max="29"/>
  </cols>
  <sheetData>
    <row r="1">
      <c r="A1" t="inlineStr">
        <is>
          <t>CRLA3v1</t>
        </is>
      </c>
    </row>
    <row r="2" ht="18" customHeight="1" s="346"/>
    <row r="4" ht="25.95" customHeight="1" s="346" thickBot="1"/>
    <row r="5" ht="17.4" customFormat="1" customHeight="1" s="258">
      <c r="A5" s="341" t="inlineStr">
        <is>
          <t>School:</t>
        </is>
      </c>
      <c r="B5" s="316" t="n"/>
      <c r="C5" s="342">
        <f>'G2 MT Reading Scoresheet'!$C$5</f>
        <v/>
      </c>
      <c r="D5" s="316" t="n"/>
      <c r="E5" s="334" t="inlineStr">
        <is>
          <t>GRADE 2 Reading Assessment CLASS RECORD</t>
        </is>
      </c>
      <c r="F5" s="298" t="n"/>
      <c r="G5" s="298" t="n"/>
      <c r="H5" s="298" t="n"/>
      <c r="I5" s="298" t="n"/>
      <c r="J5" s="298" t="n"/>
      <c r="K5" s="298" t="n"/>
      <c r="L5" s="298" t="n"/>
      <c r="M5" s="298" t="n"/>
      <c r="N5" s="298" t="n"/>
      <c r="O5" s="298" t="n"/>
      <c r="P5" s="298" t="n"/>
      <c r="Q5" s="316" t="n"/>
    </row>
    <row r="6" ht="18" customFormat="1" customHeight="1" s="258">
      <c r="A6" s="333" t="inlineStr">
        <is>
          <t>Teacher:</t>
        </is>
      </c>
      <c r="B6" s="285" t="n"/>
      <c r="C6" s="332">
        <f>'G2 MT Reading Scoresheet'!C6</f>
        <v/>
      </c>
      <c r="D6" s="285" t="n"/>
      <c r="E6" s="343">
        <f>CONCATENATE("MOTHER TONGUE","(",'G2 MT Reading Scoresheet'!C9,")")</f>
        <v/>
      </c>
      <c r="F6" s="340" t="n"/>
      <c r="G6" s="340" t="n"/>
      <c r="H6" s="340" t="n"/>
      <c r="I6" s="340" t="n"/>
      <c r="J6" s="285" t="n"/>
      <c r="K6" s="339" t="inlineStr">
        <is>
          <t>FILIPINO</t>
        </is>
      </c>
      <c r="L6" s="340" t="n"/>
      <c r="M6" s="340" t="n"/>
      <c r="N6" s="340" t="n"/>
      <c r="O6" s="340" t="n"/>
      <c r="P6" s="285" t="n"/>
      <c r="Q6" s="336" t="inlineStr">
        <is>
          <t>Remarks</t>
        </is>
      </c>
    </row>
    <row r="7" ht="18" customFormat="1" customHeight="1" s="258">
      <c r="A7" s="333" t="inlineStr">
        <is>
          <t>Grade:</t>
        </is>
      </c>
      <c r="B7" s="285" t="n"/>
      <c r="C7" s="332" t="inlineStr">
        <is>
          <t>Grade 1</t>
        </is>
      </c>
      <c r="D7" s="285" t="n"/>
      <c r="E7" s="335" t="inlineStr">
        <is>
          <t>Assessment Part 1</t>
        </is>
      </c>
      <c r="F7" s="285" t="n"/>
      <c r="G7" s="335" t="inlineStr">
        <is>
          <t>Assessment Part 2</t>
        </is>
      </c>
      <c r="H7" s="340" t="n"/>
      <c r="I7" s="285" t="n"/>
      <c r="J7" s="344" t="inlineStr">
        <is>
          <t>READING PROFILE</t>
        </is>
      </c>
      <c r="K7" s="331" t="inlineStr">
        <is>
          <t>Assessment Part 1</t>
        </is>
      </c>
      <c r="L7" s="285" t="n"/>
      <c r="M7" s="331" t="inlineStr">
        <is>
          <t>Assessment Part 2</t>
        </is>
      </c>
      <c r="N7" s="340" t="n"/>
      <c r="O7" s="285" t="n"/>
      <c r="P7" s="213" t="n"/>
      <c r="Q7" s="337" t="n"/>
    </row>
    <row r="8" ht="34.2" customFormat="1" customHeight="1" s="258">
      <c r="A8" s="13" t="inlineStr">
        <is>
          <t>S/N</t>
        </is>
      </c>
      <c r="B8" s="15" t="inlineStr">
        <is>
          <t>LRN</t>
        </is>
      </c>
      <c r="C8" s="16" t="inlineStr">
        <is>
          <t>Name of Learner</t>
        </is>
      </c>
      <c r="D8" s="14" t="inlineStr">
        <is>
          <t>Sex</t>
        </is>
      </c>
      <c r="E8" s="335" t="inlineStr">
        <is>
          <t>Assessment Part 1 Reading Level</t>
        </is>
      </c>
      <c r="F8" s="335" t="inlineStr">
        <is>
          <t>% of Total Score</t>
        </is>
      </c>
      <c r="G8" s="335" t="inlineStr">
        <is>
          <t>Reading Fluency</t>
        </is>
      </c>
      <c r="H8" s="212" t="inlineStr">
        <is>
          <t>Reading Comprehension</t>
        </is>
      </c>
      <c r="I8" s="212" t="inlineStr">
        <is>
          <t>Average Word Per Minute</t>
        </is>
      </c>
      <c r="J8" s="323" t="n"/>
      <c r="K8" s="331" t="inlineStr">
        <is>
          <t>Assessment Part 1 Reading Level</t>
        </is>
      </c>
      <c r="L8" s="214" t="inlineStr">
        <is>
          <t>% of Total Score</t>
        </is>
      </c>
      <c r="M8" s="214" t="inlineStr">
        <is>
          <t>Reading Fluency</t>
        </is>
      </c>
      <c r="N8" s="214" t="inlineStr">
        <is>
          <t>Reading Comprehension</t>
        </is>
      </c>
      <c r="O8" s="214" t="inlineStr">
        <is>
          <t>Average Word Per Minute</t>
        </is>
      </c>
      <c r="P8" s="56" t="inlineStr">
        <is>
          <t>READING PROFILE</t>
        </is>
      </c>
      <c r="Q8" s="338" t="n"/>
    </row>
    <row r="9">
      <c r="A9" s="43" t="n">
        <v>1</v>
      </c>
      <c r="B9" s="49">
        <f>IF('G2 MT Reading Scoresheet'!B11&lt;&gt;"",'G2 MT Reading Scoresheet'!B11,"")</f>
        <v/>
      </c>
      <c r="C9" s="50">
        <f>IF('G2 MT Reading Scoresheet'!C11&lt;&gt;"",'G2 MT Reading Scoresheet'!C11,"")</f>
        <v/>
      </c>
      <c r="D9" s="51">
        <f>IF('G2 MT Reading Scoresheet'!D11&lt;&gt;"",'G2 MT Reading Scoresheet'!D11,"")</f>
        <v/>
      </c>
      <c r="E9" s="210">
        <f>'G2 MT Reading Scoresheet'!$J11</f>
        <v/>
      </c>
      <c r="F9" s="246">
        <f>IF(C9&lt;&gt;"",'G2 MT Reading Scoresheet'!$I11/30,"")</f>
        <v/>
      </c>
      <c r="G9" s="246">
        <f>IF(AND($C9&lt;&gt;"",$E9&lt;&gt;"Full Refresher"),'G2 MT Reading Scoresheet'!$Q11,"")</f>
        <v/>
      </c>
      <c r="H9" s="246">
        <f>IF(AND(C9&lt;&gt;"",E9&lt;&gt;"Full Refresher"),'G2 MT Reading Scoresheet'!$R11/6,"")</f>
        <v/>
      </c>
      <c r="I9" s="210">
        <f>IF(AND(C9&lt;&gt;"",F9&lt;&gt;"Full Refresher"),'G2 MT Reading Scoresheet'!$P11,"")</f>
        <v/>
      </c>
      <c r="J9" s="247">
        <f>'G2 MT Reading Scoresheet'!$U11</f>
        <v/>
      </c>
      <c r="K9" s="57">
        <f>'G2 FIL Reading Scoresheet'!$J11</f>
        <v/>
      </c>
      <c r="L9" s="248">
        <f>IF($C9&lt;&gt;"",'G2 FIL Reading Scoresheet'!$I11/30,"")</f>
        <v/>
      </c>
      <c r="M9" s="248">
        <f>IF(AND($C9&lt;&gt;"",$K9&lt;&gt;"Full Refresher"),'G2 FIL Reading Scoresheet'!$Q11,"")</f>
        <v/>
      </c>
      <c r="N9" s="248">
        <f>IF(AND($C9&lt;&gt;"",K9&lt;&gt;"Full Refresher"),'G2 FIL Reading Scoresheet'!$R11/6,"")</f>
        <v/>
      </c>
      <c r="O9" s="57">
        <f>IF(AND(C9&lt;&gt;"",K9&lt;&gt;"Full Refresher"),'G2 FIL Reading Scoresheet'!$P11,"")</f>
        <v/>
      </c>
      <c r="P9" s="249">
        <f>'G2 FIL Reading Scoresheet'!$U11</f>
        <v/>
      </c>
      <c r="Q9" s="52">
        <f>CONCATENATE(IF(ISBLANK('G2 MT Reading Scoresheet'!V11),"",CONCATENATE("MT:",TRIM('G2 MT Reading Scoresheet'!V11)))," ",IF(ISBLANK('G2 FIL Reading Scoresheet'!V11),"",CONCATENATE("FIL:",TRIM('G2 FIL Reading Scoresheet'!V11))))</f>
        <v/>
      </c>
      <c r="R9" t="inlineStr">
        <is>
          <t xml:space="preserve"> </t>
        </is>
      </c>
    </row>
    <row r="10" ht="13.95" customHeight="1" s="346">
      <c r="A10" s="44" t="n">
        <v>2</v>
      </c>
      <c r="B10" s="45">
        <f>IF('G2 MT Reading Scoresheet'!B12&lt;&gt;"",'G2 MT Reading Scoresheet'!B12,"")</f>
        <v/>
      </c>
      <c r="C10" s="46">
        <f>IF('G2 MT Reading Scoresheet'!C12&lt;&gt;"",'G2 MT Reading Scoresheet'!C12,"")</f>
        <v/>
      </c>
      <c r="D10" s="47">
        <f>IF('G2 MT Reading Scoresheet'!D12&lt;&gt;"",'G2 MT Reading Scoresheet'!D12,"")</f>
        <v/>
      </c>
      <c r="E10" s="210">
        <f>'G2 MT Reading Scoresheet'!$J12</f>
        <v/>
      </c>
      <c r="F10" s="246">
        <f>IF(C10&lt;&gt;"",'G2 MT Reading Scoresheet'!$I12/30,"")</f>
        <v/>
      </c>
      <c r="G10" s="246">
        <f>IF(AND($C10&lt;&gt;"",$E10&lt;&gt;"Full Refresher"),'G2 MT Reading Scoresheet'!$Q12,"")</f>
        <v/>
      </c>
      <c r="H10" s="246">
        <f>IF(AND(C10&lt;&gt;"",E10&lt;&gt;"Full Refresher"),'G2 MT Reading Scoresheet'!$R12/6,"")</f>
        <v/>
      </c>
      <c r="I10" s="210">
        <f>IF(AND(D10&lt;&gt;"",F10&lt;&gt;"Full Refresher"),'G2 MT Reading Scoresheet'!$P12,"")</f>
        <v/>
      </c>
      <c r="J10" s="250">
        <f>'G2 MT Reading Scoresheet'!$U12</f>
        <v/>
      </c>
      <c r="K10" s="57">
        <f>'G2 FIL Reading Scoresheet'!$J12</f>
        <v/>
      </c>
      <c r="L10" s="248">
        <f>IF($C10&lt;&gt;"",'G2 FIL Reading Scoresheet'!$I12/30,"")</f>
        <v/>
      </c>
      <c r="M10" s="248">
        <f>IF(AND($C10&lt;&gt;"",$K10&lt;&gt;"Full Refresher"),'G2 FIL Reading Scoresheet'!$Q12,"")</f>
        <v/>
      </c>
      <c r="N10" s="248">
        <f>IF(AND($C10&lt;&gt;"",K10&lt;&gt;"Full Refresher"),'G2 FIL Reading Scoresheet'!$R12/6,"")</f>
        <v/>
      </c>
      <c r="O10" s="57">
        <f>IF(AND(C10&lt;&gt;"",K10&lt;&gt;"Full Refresher"),'G2 FIL Reading Scoresheet'!$P12,"")</f>
        <v/>
      </c>
      <c r="P10" s="251">
        <f>'G2 FIL Reading Scoresheet'!$U12</f>
        <v/>
      </c>
      <c r="Q10" s="48">
        <f>CONCATENATE(IF(ISBLANK('G2 MT Reading Scoresheet'!V12),"",CONCATENATE("MT:",TRIM('G2 MT Reading Scoresheet'!V12)))," ",IF(ISBLANK('G2 FIL Reading Scoresheet'!V12),"",CONCATENATE("FIL:",TRIM('G2 FIL Reading Scoresheet'!V12))))</f>
        <v/>
      </c>
    </row>
    <row r="11">
      <c r="A11" s="43" t="n">
        <v>3</v>
      </c>
      <c r="B11" s="49">
        <f>IF('G2 MT Reading Scoresheet'!B13&lt;&gt;"",'G2 MT Reading Scoresheet'!B13,"")</f>
        <v/>
      </c>
      <c r="C11" s="50">
        <f>IF('G2 MT Reading Scoresheet'!C13&lt;&gt;"",'G2 MT Reading Scoresheet'!C13,"")</f>
        <v/>
      </c>
      <c r="D11" s="51">
        <f>IF('G2 MT Reading Scoresheet'!D13&lt;&gt;"",'G2 MT Reading Scoresheet'!D13,"")</f>
        <v/>
      </c>
      <c r="E11" s="210">
        <f>'G2 MT Reading Scoresheet'!$J13</f>
        <v/>
      </c>
      <c r="F11" s="246">
        <f>IF(C11&lt;&gt;"",'G2 MT Reading Scoresheet'!$I13/30,"")</f>
        <v/>
      </c>
      <c r="G11" s="246">
        <f>IF(AND($C11&lt;&gt;"",$E11&lt;&gt;"Full Refresher"),'G2 MT Reading Scoresheet'!$Q13,"")</f>
        <v/>
      </c>
      <c r="H11" s="246">
        <f>IF(AND(C11&lt;&gt;"",E11&lt;&gt;"Full Refresher"),'G2 MT Reading Scoresheet'!$R13/6,"")</f>
        <v/>
      </c>
      <c r="I11" s="210">
        <f>IF(AND(D11&lt;&gt;"",F11&lt;&gt;"Full Refresher"),'G2 MT Reading Scoresheet'!$P13,"")</f>
        <v/>
      </c>
      <c r="J11" s="250">
        <f>'G2 MT Reading Scoresheet'!$U13</f>
        <v/>
      </c>
      <c r="K11" s="57">
        <f>'G2 FIL Reading Scoresheet'!$J13</f>
        <v/>
      </c>
      <c r="L11" s="248">
        <f>IF($C11&lt;&gt;"",'G2 FIL Reading Scoresheet'!$I13/30,"")</f>
        <v/>
      </c>
      <c r="M11" s="248">
        <f>IF(AND($C11&lt;&gt;"",$K11&lt;&gt;"Full Refresher"),'G2 FIL Reading Scoresheet'!$Q13,"")</f>
        <v/>
      </c>
      <c r="N11" s="248">
        <f>IF(AND($C11&lt;&gt;"",K11&lt;&gt;"Full Refresher"),'G2 FIL Reading Scoresheet'!$R13/6,"")</f>
        <v/>
      </c>
      <c r="O11" s="57">
        <f>IF(AND(C11&lt;&gt;"",K11&lt;&gt;"Full Refresher"),'G2 FIL Reading Scoresheet'!$P13,"")</f>
        <v/>
      </c>
      <c r="P11" s="251">
        <f>'G2 FIL Reading Scoresheet'!$U13</f>
        <v/>
      </c>
      <c r="Q11" s="52">
        <f>CONCATENATE(IF(ISBLANK('G2 MT Reading Scoresheet'!V13),"",CONCATENATE("MT:",TRIM('G2 MT Reading Scoresheet'!V13)))," ",IF(ISBLANK('G2 FIL Reading Scoresheet'!V13),"",CONCATENATE("FIL:",TRIM('G2 FIL Reading Scoresheet'!V13))))</f>
        <v/>
      </c>
    </row>
    <row r="12">
      <c r="A12" s="44" t="n">
        <v>4</v>
      </c>
      <c r="B12" s="45">
        <f>IF('G2 MT Reading Scoresheet'!B14&lt;&gt;"",'G2 MT Reading Scoresheet'!B14,"")</f>
        <v/>
      </c>
      <c r="C12" s="46">
        <f>IF('G2 MT Reading Scoresheet'!C14&lt;&gt;"",'G2 MT Reading Scoresheet'!C14,"")</f>
        <v/>
      </c>
      <c r="D12" s="47">
        <f>IF('G2 MT Reading Scoresheet'!D14&lt;&gt;"",'G2 MT Reading Scoresheet'!D14,"")</f>
        <v/>
      </c>
      <c r="E12" s="210">
        <f>'G2 MT Reading Scoresheet'!$J14</f>
        <v/>
      </c>
      <c r="F12" s="246">
        <f>IF(C12&lt;&gt;"",'G2 MT Reading Scoresheet'!$I14/30,"")</f>
        <v/>
      </c>
      <c r="G12" s="246">
        <f>IF(AND($C12&lt;&gt;"",$E12&lt;&gt;"Full Refresher"),'G2 MT Reading Scoresheet'!$Q14,"")</f>
        <v/>
      </c>
      <c r="H12" s="246">
        <f>IF(AND(C12&lt;&gt;"",E12&lt;&gt;"Full Refresher"),'G2 MT Reading Scoresheet'!$R14/6,"")</f>
        <v/>
      </c>
      <c r="I12" s="210">
        <f>IF(AND(D12&lt;&gt;"",F12&lt;&gt;"Full Refresher"),'G2 MT Reading Scoresheet'!$P14,"")</f>
        <v/>
      </c>
      <c r="J12" s="250">
        <f>'G2 MT Reading Scoresheet'!$U14</f>
        <v/>
      </c>
      <c r="K12" s="57">
        <f>'G2 FIL Reading Scoresheet'!$J14</f>
        <v/>
      </c>
      <c r="L12" s="248">
        <f>IF($C12&lt;&gt;"",'G2 FIL Reading Scoresheet'!$I14/30,"")</f>
        <v/>
      </c>
      <c r="M12" s="248">
        <f>IF(AND($C12&lt;&gt;"",$K12&lt;&gt;"Full Refresher"),'G2 FIL Reading Scoresheet'!$Q14,"")</f>
        <v/>
      </c>
      <c r="N12" s="248">
        <f>IF(AND($C12&lt;&gt;"",K12&lt;&gt;"Full Refresher"),'G2 FIL Reading Scoresheet'!$R14/6,"")</f>
        <v/>
      </c>
      <c r="O12" s="57">
        <f>IF(AND(C12&lt;&gt;"",K12&lt;&gt;"Full Refresher"),'G2 FIL Reading Scoresheet'!$P14,"")</f>
        <v/>
      </c>
      <c r="P12" s="251">
        <f>'G2 FIL Reading Scoresheet'!$U14</f>
        <v/>
      </c>
      <c r="Q12" s="48">
        <f>CONCATENATE(IF(ISBLANK('G2 MT Reading Scoresheet'!V14),"",CONCATENATE("MT:",TRIM('G2 MT Reading Scoresheet'!V14)))," ",IF(ISBLANK('G2 FIL Reading Scoresheet'!V14),"",CONCATENATE("FIL:",TRIM('G2 FIL Reading Scoresheet'!V14))))</f>
        <v/>
      </c>
    </row>
    <row r="13">
      <c r="A13" s="43" t="n">
        <v>5</v>
      </c>
      <c r="B13" s="49">
        <f>IF('G2 MT Reading Scoresheet'!B15&lt;&gt;"",'G2 MT Reading Scoresheet'!B15,"")</f>
        <v/>
      </c>
      <c r="C13" s="50">
        <f>IF('G2 MT Reading Scoresheet'!C15&lt;&gt;"",'G2 MT Reading Scoresheet'!C15,"")</f>
        <v/>
      </c>
      <c r="D13" s="51">
        <f>IF('G2 MT Reading Scoresheet'!D15&lt;&gt;"",'G2 MT Reading Scoresheet'!D15,"")</f>
        <v/>
      </c>
      <c r="E13" s="210">
        <f>'G2 MT Reading Scoresheet'!$J15</f>
        <v/>
      </c>
      <c r="F13" s="246">
        <f>IF(C13&lt;&gt;"",'G2 MT Reading Scoresheet'!$I15/30,"")</f>
        <v/>
      </c>
      <c r="G13" s="246">
        <f>IF(AND($C13&lt;&gt;"",$E13&lt;&gt;"Full Refresher"),'G2 MT Reading Scoresheet'!$Q15,"")</f>
        <v/>
      </c>
      <c r="H13" s="246">
        <f>IF(AND(C13&lt;&gt;"",E13&lt;&gt;"Full Refresher"),'G2 MT Reading Scoresheet'!$R15/6,"")</f>
        <v/>
      </c>
      <c r="I13" s="210">
        <f>IF(AND(D13&lt;&gt;"",F13&lt;&gt;"Full Refresher"),'G2 MT Reading Scoresheet'!$P15,"")</f>
        <v/>
      </c>
      <c r="J13" s="250">
        <f>'G2 MT Reading Scoresheet'!$U15</f>
        <v/>
      </c>
      <c r="K13" s="57">
        <f>'G2 FIL Reading Scoresheet'!$J15</f>
        <v/>
      </c>
      <c r="L13" s="248">
        <f>IF($C13&lt;&gt;"",'G2 FIL Reading Scoresheet'!$I15/30,"")</f>
        <v/>
      </c>
      <c r="M13" s="248">
        <f>IF(AND($C13&lt;&gt;"",$K13&lt;&gt;"Full Refresher"),'G2 FIL Reading Scoresheet'!$Q15,"")</f>
        <v/>
      </c>
      <c r="N13" s="248">
        <f>IF(AND($C13&lt;&gt;"",K13&lt;&gt;"Full Refresher"),'G2 FIL Reading Scoresheet'!$R15/6,"")</f>
        <v/>
      </c>
      <c r="O13" s="57">
        <f>IF(AND(C13&lt;&gt;"",K13&lt;&gt;"Full Refresher"),'G2 FIL Reading Scoresheet'!$P15,"")</f>
        <v/>
      </c>
      <c r="P13" s="251">
        <f>'G2 FIL Reading Scoresheet'!$U15</f>
        <v/>
      </c>
      <c r="Q13" s="52">
        <f>CONCATENATE(IF(ISBLANK('G2 MT Reading Scoresheet'!V15),"",CONCATENATE("MT:",TRIM('G2 MT Reading Scoresheet'!V15)))," ",IF(ISBLANK('G2 FIL Reading Scoresheet'!V15),"",CONCATENATE("FIL:",TRIM('G2 FIL Reading Scoresheet'!V15))))</f>
        <v/>
      </c>
    </row>
    <row r="14">
      <c r="A14" s="44" t="n">
        <v>6</v>
      </c>
      <c r="B14" s="45">
        <f>IF('G2 MT Reading Scoresheet'!B16&lt;&gt;"",'G2 MT Reading Scoresheet'!B16,"")</f>
        <v/>
      </c>
      <c r="C14" s="46">
        <f>IF('G2 MT Reading Scoresheet'!C16&lt;&gt;"",'G2 MT Reading Scoresheet'!C16,"")</f>
        <v/>
      </c>
      <c r="D14" s="47">
        <f>IF('G2 MT Reading Scoresheet'!D16&lt;&gt;"",'G2 MT Reading Scoresheet'!D16,"")</f>
        <v/>
      </c>
      <c r="E14" s="210">
        <f>'G2 MT Reading Scoresheet'!$J16</f>
        <v/>
      </c>
      <c r="F14" s="246">
        <f>IF(C14&lt;&gt;"",'G2 MT Reading Scoresheet'!$I16/30,"")</f>
        <v/>
      </c>
      <c r="G14" s="246">
        <f>IF(AND($C14&lt;&gt;"",$E14&lt;&gt;"Full Refresher"),'G2 MT Reading Scoresheet'!$Q16,"")</f>
        <v/>
      </c>
      <c r="H14" s="246">
        <f>IF(AND(C14&lt;&gt;"",E14&lt;&gt;"Full Refresher"),'G2 MT Reading Scoresheet'!$R16/6,"")</f>
        <v/>
      </c>
      <c r="I14" s="210">
        <f>IF(AND(D14&lt;&gt;"",F14&lt;&gt;"Full Refresher"),'G2 MT Reading Scoresheet'!$P16,"")</f>
        <v/>
      </c>
      <c r="J14" s="250">
        <f>'G2 MT Reading Scoresheet'!$U16</f>
        <v/>
      </c>
      <c r="K14" s="57">
        <f>'G2 FIL Reading Scoresheet'!$J16</f>
        <v/>
      </c>
      <c r="L14" s="248">
        <f>IF($C14&lt;&gt;"",'G2 FIL Reading Scoresheet'!$I16/30,"")</f>
        <v/>
      </c>
      <c r="M14" s="248">
        <f>IF(AND($C14&lt;&gt;"",$K14&lt;&gt;"Full Refresher"),'G2 FIL Reading Scoresheet'!$Q16,"")</f>
        <v/>
      </c>
      <c r="N14" s="248">
        <f>IF(AND($C14&lt;&gt;"",K14&lt;&gt;"Full Refresher"),'G2 FIL Reading Scoresheet'!$R16/6,"")</f>
        <v/>
      </c>
      <c r="O14" s="57">
        <f>IF(AND(C14&lt;&gt;"",K14&lt;&gt;"Full Refresher"),'G2 FIL Reading Scoresheet'!$P16,"")</f>
        <v/>
      </c>
      <c r="P14" s="251">
        <f>'G2 FIL Reading Scoresheet'!$U16</f>
        <v/>
      </c>
      <c r="Q14" s="48">
        <f>CONCATENATE(IF(ISBLANK('G2 MT Reading Scoresheet'!V16),"",CONCATENATE("MT:",TRIM('G2 MT Reading Scoresheet'!V16)))," ",IF(ISBLANK('G2 FIL Reading Scoresheet'!V16),"",CONCATENATE("FIL:",TRIM('G2 FIL Reading Scoresheet'!V16))))</f>
        <v/>
      </c>
    </row>
    <row r="15">
      <c r="A15" s="43" t="n">
        <v>7</v>
      </c>
      <c r="B15" s="49">
        <f>IF('G2 MT Reading Scoresheet'!B17&lt;&gt;"",'G2 MT Reading Scoresheet'!B17,"")</f>
        <v/>
      </c>
      <c r="C15" s="50">
        <f>IF('G2 MT Reading Scoresheet'!C17&lt;&gt;"",'G2 MT Reading Scoresheet'!C17,"")</f>
        <v/>
      </c>
      <c r="D15" s="51">
        <f>IF('G2 MT Reading Scoresheet'!D17&lt;&gt;"",'G2 MT Reading Scoresheet'!D17,"")</f>
        <v/>
      </c>
      <c r="E15" s="210">
        <f>'G2 MT Reading Scoresheet'!$J17</f>
        <v/>
      </c>
      <c r="F15" s="246">
        <f>IF(C15&lt;&gt;"",'G2 MT Reading Scoresheet'!$I17/30,"")</f>
        <v/>
      </c>
      <c r="G15" s="246">
        <f>IF(AND($C15&lt;&gt;"",$E15&lt;&gt;"Full Refresher"),'G2 MT Reading Scoresheet'!$Q17,"")</f>
        <v/>
      </c>
      <c r="H15" s="246">
        <f>IF(AND(C15&lt;&gt;"",E15&lt;&gt;"Full Refresher"),'G2 MT Reading Scoresheet'!$R17/6,"")</f>
        <v/>
      </c>
      <c r="I15" s="210">
        <f>IF(AND(D15&lt;&gt;"",F15&lt;&gt;"Full Refresher"),'G2 MT Reading Scoresheet'!$P17,"")</f>
        <v/>
      </c>
      <c r="J15" s="250">
        <f>'G2 MT Reading Scoresheet'!$U17</f>
        <v/>
      </c>
      <c r="K15" s="57">
        <f>'G2 FIL Reading Scoresheet'!$J17</f>
        <v/>
      </c>
      <c r="L15" s="248">
        <f>IF($C15&lt;&gt;"",'G2 FIL Reading Scoresheet'!$I17/30,"")</f>
        <v/>
      </c>
      <c r="M15" s="248">
        <f>IF(AND($C15&lt;&gt;"",$K15&lt;&gt;"Full Refresher"),'G2 FIL Reading Scoresheet'!$Q17,"")</f>
        <v/>
      </c>
      <c r="N15" s="248">
        <f>IF(AND($C15&lt;&gt;"",K15&lt;&gt;"Full Refresher"),'G2 FIL Reading Scoresheet'!$R17/6,"")</f>
        <v/>
      </c>
      <c r="O15" s="57">
        <f>IF(AND(C15&lt;&gt;"",K15&lt;&gt;"Full Refresher"),'G2 FIL Reading Scoresheet'!$P17,"")</f>
        <v/>
      </c>
      <c r="P15" s="251">
        <f>'G2 FIL Reading Scoresheet'!$U17</f>
        <v/>
      </c>
      <c r="Q15" s="52">
        <f>CONCATENATE(IF(ISBLANK('G2 MT Reading Scoresheet'!V17),"",CONCATENATE("MT:",TRIM('G2 MT Reading Scoresheet'!V17)))," ",IF(ISBLANK('G2 FIL Reading Scoresheet'!V17),"",CONCATENATE("FIL:",TRIM('G2 FIL Reading Scoresheet'!V17))))</f>
        <v/>
      </c>
    </row>
    <row r="16">
      <c r="A16" s="44" t="n">
        <v>8</v>
      </c>
      <c r="B16" s="45">
        <f>IF('G2 MT Reading Scoresheet'!B18&lt;&gt;"",'G2 MT Reading Scoresheet'!B18,"")</f>
        <v/>
      </c>
      <c r="C16" s="46">
        <f>IF('G2 MT Reading Scoresheet'!C18&lt;&gt;"",'G2 MT Reading Scoresheet'!C18,"")</f>
        <v/>
      </c>
      <c r="D16" s="47">
        <f>IF('G2 MT Reading Scoresheet'!D18&lt;&gt;"",'G2 MT Reading Scoresheet'!D18,"")</f>
        <v/>
      </c>
      <c r="E16" s="210">
        <f>'G2 MT Reading Scoresheet'!$J18</f>
        <v/>
      </c>
      <c r="F16" s="246">
        <f>IF(C16&lt;&gt;"",'G2 MT Reading Scoresheet'!$I18/30,"")</f>
        <v/>
      </c>
      <c r="G16" s="246">
        <f>IF(AND($C16&lt;&gt;"",$E16&lt;&gt;"Full Refresher"),'G2 MT Reading Scoresheet'!$Q18,"")</f>
        <v/>
      </c>
      <c r="H16" s="246">
        <f>IF(AND(C16&lt;&gt;"",E16&lt;&gt;"Full Refresher"),'G2 MT Reading Scoresheet'!$R18/6,"")</f>
        <v/>
      </c>
      <c r="I16" s="210">
        <f>IF(AND(D16&lt;&gt;"",F16&lt;&gt;"Full Refresher"),'G2 MT Reading Scoresheet'!$P18,"")</f>
        <v/>
      </c>
      <c r="J16" s="250">
        <f>'G2 MT Reading Scoresheet'!$U18</f>
        <v/>
      </c>
      <c r="K16" s="57">
        <f>'G2 FIL Reading Scoresheet'!$J18</f>
        <v/>
      </c>
      <c r="L16" s="248">
        <f>IF($C16&lt;&gt;"",'G2 FIL Reading Scoresheet'!$I18/30,"")</f>
        <v/>
      </c>
      <c r="M16" s="248">
        <f>IF(AND($C16&lt;&gt;"",$K16&lt;&gt;"Full Refresher"),'G2 FIL Reading Scoresheet'!$Q18,"")</f>
        <v/>
      </c>
      <c r="N16" s="248">
        <f>IF(AND($C16&lt;&gt;"",K16&lt;&gt;"Full Refresher"),'G2 FIL Reading Scoresheet'!$R18/6,"")</f>
        <v/>
      </c>
      <c r="O16" s="57">
        <f>IF(AND(C16&lt;&gt;"",K16&lt;&gt;"Full Refresher"),'G2 FIL Reading Scoresheet'!$P18,"")</f>
        <v/>
      </c>
      <c r="P16" s="251">
        <f>'G2 FIL Reading Scoresheet'!$U18</f>
        <v/>
      </c>
      <c r="Q16" s="48">
        <f>CONCATENATE(IF(ISBLANK('G2 MT Reading Scoresheet'!V18),"",CONCATENATE("MT:",TRIM('G2 MT Reading Scoresheet'!V18)))," ",IF(ISBLANK('G2 FIL Reading Scoresheet'!V18),"",CONCATENATE("FIL:",TRIM('G2 FIL Reading Scoresheet'!V18))))</f>
        <v/>
      </c>
    </row>
    <row r="17">
      <c r="A17" s="43" t="n">
        <v>9</v>
      </c>
      <c r="B17" s="49">
        <f>IF('G2 MT Reading Scoresheet'!B19&lt;&gt;"",'G2 MT Reading Scoresheet'!B19,"")</f>
        <v/>
      </c>
      <c r="C17" s="50">
        <f>IF('G2 MT Reading Scoresheet'!C19&lt;&gt;"",'G2 MT Reading Scoresheet'!C19,"")</f>
        <v/>
      </c>
      <c r="D17" s="51">
        <f>IF('G2 MT Reading Scoresheet'!D19&lt;&gt;"",'G2 MT Reading Scoresheet'!D19,"")</f>
        <v/>
      </c>
      <c r="E17" s="210">
        <f>'G2 MT Reading Scoresheet'!$J19</f>
        <v/>
      </c>
      <c r="F17" s="246">
        <f>IF(C17&lt;&gt;"",'G2 MT Reading Scoresheet'!$I19/30,"")</f>
        <v/>
      </c>
      <c r="G17" s="246">
        <f>IF(AND($C17&lt;&gt;"",$E17&lt;&gt;"Full Refresher"),'G2 MT Reading Scoresheet'!$Q19,"")</f>
        <v/>
      </c>
      <c r="H17" s="246">
        <f>IF(AND(C17&lt;&gt;"",E17&lt;&gt;"Full Refresher"),'G2 MT Reading Scoresheet'!$R19/6,"")</f>
        <v/>
      </c>
      <c r="I17" s="210">
        <f>IF(AND(D17&lt;&gt;"",F17&lt;&gt;"Full Refresher"),'G2 MT Reading Scoresheet'!$P19,"")</f>
        <v/>
      </c>
      <c r="J17" s="250">
        <f>'G2 MT Reading Scoresheet'!$U19</f>
        <v/>
      </c>
      <c r="K17" s="57">
        <f>'G2 FIL Reading Scoresheet'!$J19</f>
        <v/>
      </c>
      <c r="L17" s="248">
        <f>IF($C17&lt;&gt;"",'G2 FIL Reading Scoresheet'!$I19/30,"")</f>
        <v/>
      </c>
      <c r="M17" s="248">
        <f>IF(AND($C17&lt;&gt;"",$K17&lt;&gt;"Full Refresher"),'G2 FIL Reading Scoresheet'!$Q19,"")</f>
        <v/>
      </c>
      <c r="N17" s="248">
        <f>IF(AND($C17&lt;&gt;"",K17&lt;&gt;"Full Refresher"),'G2 FIL Reading Scoresheet'!$R19/6,"")</f>
        <v/>
      </c>
      <c r="O17" s="57">
        <f>IF(AND(C17&lt;&gt;"",K17&lt;&gt;"Full Refresher"),'G2 FIL Reading Scoresheet'!$P19,"")</f>
        <v/>
      </c>
      <c r="P17" s="251">
        <f>'G2 FIL Reading Scoresheet'!$U19</f>
        <v/>
      </c>
      <c r="Q17" s="52">
        <f>CONCATENATE(IF(ISBLANK('G2 MT Reading Scoresheet'!V19),"",CONCATENATE("MT:",TRIM('G2 MT Reading Scoresheet'!V19)))," ",IF(ISBLANK('G2 FIL Reading Scoresheet'!V19),"",CONCATENATE("FIL:",TRIM('G2 FIL Reading Scoresheet'!V19))))</f>
        <v/>
      </c>
    </row>
    <row r="18">
      <c r="A18" s="44" t="n">
        <v>10</v>
      </c>
      <c r="B18" s="45">
        <f>IF('G2 MT Reading Scoresheet'!B20&lt;&gt;"",'G2 MT Reading Scoresheet'!B20,"")</f>
        <v/>
      </c>
      <c r="C18" s="46">
        <f>IF('G2 MT Reading Scoresheet'!C20&lt;&gt;"",'G2 MT Reading Scoresheet'!C20,"")</f>
        <v/>
      </c>
      <c r="D18" s="47">
        <f>IF('G2 MT Reading Scoresheet'!D20&lt;&gt;"",'G2 MT Reading Scoresheet'!D20,"")</f>
        <v/>
      </c>
      <c r="E18" s="210">
        <f>'G2 MT Reading Scoresheet'!$J20</f>
        <v/>
      </c>
      <c r="F18" s="246">
        <f>IF(C18&lt;&gt;"",'G2 MT Reading Scoresheet'!$I20/30,"")</f>
        <v/>
      </c>
      <c r="G18" s="246">
        <f>IF(AND($C18&lt;&gt;"",$E18&lt;&gt;"Full Refresher"),'G2 MT Reading Scoresheet'!$Q20,"")</f>
        <v/>
      </c>
      <c r="H18" s="246">
        <f>IF(AND(C18&lt;&gt;"",E18&lt;&gt;"Full Refresher"),'G2 MT Reading Scoresheet'!$R20/6,"")</f>
        <v/>
      </c>
      <c r="I18" s="210">
        <f>IF(AND(D18&lt;&gt;"",F18&lt;&gt;"Full Refresher"),'G2 MT Reading Scoresheet'!$P20,"")</f>
        <v/>
      </c>
      <c r="J18" s="250">
        <f>'G2 MT Reading Scoresheet'!$U20</f>
        <v/>
      </c>
      <c r="K18" s="57">
        <f>'G2 FIL Reading Scoresheet'!$J20</f>
        <v/>
      </c>
      <c r="L18" s="248">
        <f>IF($C18&lt;&gt;"",'G2 FIL Reading Scoresheet'!$I20/30,"")</f>
        <v/>
      </c>
      <c r="M18" s="248">
        <f>IF(AND($C18&lt;&gt;"",$K18&lt;&gt;"Full Refresher"),'G2 FIL Reading Scoresheet'!$Q20,"")</f>
        <v/>
      </c>
      <c r="N18" s="248">
        <f>IF(AND($C18&lt;&gt;"",K18&lt;&gt;"Full Refresher"),'G2 FIL Reading Scoresheet'!$R20/6,"")</f>
        <v/>
      </c>
      <c r="O18" s="57">
        <f>IF(AND(C18&lt;&gt;"",K18&lt;&gt;"Full Refresher"),'G2 FIL Reading Scoresheet'!$P20,"")</f>
        <v/>
      </c>
      <c r="P18" s="251">
        <f>'G2 FIL Reading Scoresheet'!$U20</f>
        <v/>
      </c>
      <c r="Q18" s="48">
        <f>CONCATENATE(IF(ISBLANK('G2 MT Reading Scoresheet'!V20),"",CONCATENATE("MT:",TRIM('G2 MT Reading Scoresheet'!V20)))," ",IF(ISBLANK('G2 FIL Reading Scoresheet'!V20),"",CONCATENATE("FIL:",TRIM('G2 FIL Reading Scoresheet'!V20))))</f>
        <v/>
      </c>
    </row>
    <row r="19">
      <c r="A19" s="43" t="n">
        <v>11</v>
      </c>
      <c r="B19" s="49">
        <f>IF('G2 MT Reading Scoresheet'!B21&lt;&gt;"",'G2 MT Reading Scoresheet'!B21,"")</f>
        <v/>
      </c>
      <c r="C19" s="50">
        <f>IF('G2 MT Reading Scoresheet'!C21&lt;&gt;"",'G2 MT Reading Scoresheet'!C21,"")</f>
        <v/>
      </c>
      <c r="D19" s="51">
        <f>IF('G2 MT Reading Scoresheet'!D21&lt;&gt;"",'G2 MT Reading Scoresheet'!D21,"")</f>
        <v/>
      </c>
      <c r="E19" s="210">
        <f>'G2 MT Reading Scoresheet'!$J21</f>
        <v/>
      </c>
      <c r="F19" s="246">
        <f>IF(C19&lt;&gt;"",'G2 MT Reading Scoresheet'!$I21/30,"")</f>
        <v/>
      </c>
      <c r="G19" s="246">
        <f>IF(AND($C19&lt;&gt;"",$E19&lt;&gt;"Full Refresher"),'G2 MT Reading Scoresheet'!$Q21,"")</f>
        <v/>
      </c>
      <c r="H19" s="246">
        <f>IF(AND(C19&lt;&gt;"",E19&lt;&gt;"Full Refresher"),'G2 MT Reading Scoresheet'!$R21/6,"")</f>
        <v/>
      </c>
      <c r="I19" s="210">
        <f>IF(AND(D19&lt;&gt;"",F19&lt;&gt;"Full Refresher"),'G2 MT Reading Scoresheet'!$P21,"")</f>
        <v/>
      </c>
      <c r="J19" s="250">
        <f>'G2 MT Reading Scoresheet'!$U21</f>
        <v/>
      </c>
      <c r="K19" s="57">
        <f>'G2 FIL Reading Scoresheet'!$J21</f>
        <v/>
      </c>
      <c r="L19" s="248">
        <f>IF($C19&lt;&gt;"",'G2 FIL Reading Scoresheet'!$I21/30,"")</f>
        <v/>
      </c>
      <c r="M19" s="248">
        <f>IF(AND($C19&lt;&gt;"",$K19&lt;&gt;"Full Refresher"),'G2 FIL Reading Scoresheet'!$Q21,"")</f>
        <v/>
      </c>
      <c r="N19" s="248">
        <f>IF(AND($C19&lt;&gt;"",K19&lt;&gt;"Full Refresher"),'G2 FIL Reading Scoresheet'!$R21/6,"")</f>
        <v/>
      </c>
      <c r="O19" s="57">
        <f>IF(AND(C19&lt;&gt;"",K19&lt;&gt;"Full Refresher"),'G2 FIL Reading Scoresheet'!$P21,"")</f>
        <v/>
      </c>
      <c r="P19" s="251">
        <f>'G2 FIL Reading Scoresheet'!$U21</f>
        <v/>
      </c>
      <c r="Q19" s="52">
        <f>CONCATENATE(IF(ISBLANK('G2 MT Reading Scoresheet'!V21),"",CONCATENATE("MT:",TRIM('G2 MT Reading Scoresheet'!V21)))," ",IF(ISBLANK('G2 FIL Reading Scoresheet'!V21),"",CONCATENATE("FIL:",TRIM('G2 FIL Reading Scoresheet'!V21))))</f>
        <v/>
      </c>
    </row>
    <row r="20">
      <c r="A20" s="44" t="n">
        <v>12</v>
      </c>
      <c r="B20" s="45">
        <f>IF('G2 MT Reading Scoresheet'!B22&lt;&gt;"",'G2 MT Reading Scoresheet'!B22,"")</f>
        <v/>
      </c>
      <c r="C20" s="46">
        <f>IF('G2 MT Reading Scoresheet'!C22&lt;&gt;"",'G2 MT Reading Scoresheet'!C22,"")</f>
        <v/>
      </c>
      <c r="D20" s="47">
        <f>IF('G2 MT Reading Scoresheet'!D22&lt;&gt;"",'G2 MT Reading Scoresheet'!D22,"")</f>
        <v/>
      </c>
      <c r="E20" s="210">
        <f>'G2 MT Reading Scoresheet'!$J22</f>
        <v/>
      </c>
      <c r="F20" s="246">
        <f>IF(C20&lt;&gt;"",'G2 MT Reading Scoresheet'!$I22/30,"")</f>
        <v/>
      </c>
      <c r="G20" s="246">
        <f>IF(AND($C20&lt;&gt;"",$E20&lt;&gt;"Full Refresher"),'G2 MT Reading Scoresheet'!$Q22,"")</f>
        <v/>
      </c>
      <c r="H20" s="246">
        <f>IF(AND(C20&lt;&gt;"",E20&lt;&gt;"Full Refresher"),'G2 MT Reading Scoresheet'!$R22/6,"")</f>
        <v/>
      </c>
      <c r="I20" s="210">
        <f>IF(AND(D20&lt;&gt;"",F20&lt;&gt;"Full Refresher"),'G2 MT Reading Scoresheet'!$P22,"")</f>
        <v/>
      </c>
      <c r="J20" s="250">
        <f>'G2 MT Reading Scoresheet'!$U22</f>
        <v/>
      </c>
      <c r="K20" s="57">
        <f>'G2 FIL Reading Scoresheet'!$J22</f>
        <v/>
      </c>
      <c r="L20" s="248">
        <f>IF($C20&lt;&gt;"",'G2 FIL Reading Scoresheet'!$I22/30,"")</f>
        <v/>
      </c>
      <c r="M20" s="248">
        <f>IF(AND($C20&lt;&gt;"",$K20&lt;&gt;"Full Refresher"),'G2 FIL Reading Scoresheet'!$Q22,"")</f>
        <v/>
      </c>
      <c r="N20" s="248">
        <f>IF(AND($C20&lt;&gt;"",K20&lt;&gt;"Full Refresher"),'G2 FIL Reading Scoresheet'!$R22/6,"")</f>
        <v/>
      </c>
      <c r="O20" s="57">
        <f>IF(AND(C20&lt;&gt;"",K20&lt;&gt;"Full Refresher"),'G2 FIL Reading Scoresheet'!$P22,"")</f>
        <v/>
      </c>
      <c r="P20" s="251">
        <f>'G2 FIL Reading Scoresheet'!$U22</f>
        <v/>
      </c>
      <c r="Q20" s="48">
        <f>CONCATENATE(IF(ISBLANK('G2 MT Reading Scoresheet'!V22),"",CONCATENATE("MT:",TRIM('G2 MT Reading Scoresheet'!V22)))," ",IF(ISBLANK('G2 FIL Reading Scoresheet'!V22),"",CONCATENATE("FIL:",TRIM('G2 FIL Reading Scoresheet'!V22))))</f>
        <v/>
      </c>
    </row>
    <row r="21">
      <c r="A21" s="43" t="n">
        <v>13</v>
      </c>
      <c r="B21" s="49">
        <f>IF('G2 MT Reading Scoresheet'!B23&lt;&gt;"",'G2 MT Reading Scoresheet'!B23,"")</f>
        <v/>
      </c>
      <c r="C21" s="50">
        <f>IF('G2 MT Reading Scoresheet'!C23&lt;&gt;"",'G2 MT Reading Scoresheet'!C23,"")</f>
        <v/>
      </c>
      <c r="D21" s="51">
        <f>IF('G2 MT Reading Scoresheet'!D23&lt;&gt;"",'G2 MT Reading Scoresheet'!D23,"")</f>
        <v/>
      </c>
      <c r="E21" s="210">
        <f>'G2 MT Reading Scoresheet'!$J23</f>
        <v/>
      </c>
      <c r="F21" s="246">
        <f>IF(C21&lt;&gt;"",'G2 MT Reading Scoresheet'!$I23/30,"")</f>
        <v/>
      </c>
      <c r="G21" s="246">
        <f>IF(AND($C21&lt;&gt;"",$E21&lt;&gt;"Full Refresher"),'G2 MT Reading Scoresheet'!$Q23,"")</f>
        <v/>
      </c>
      <c r="H21" s="246">
        <f>IF(AND(C21&lt;&gt;"",E21&lt;&gt;"Full Refresher"),'G2 MT Reading Scoresheet'!$R23/6,"")</f>
        <v/>
      </c>
      <c r="I21" s="210">
        <f>IF(AND(D21&lt;&gt;"",F21&lt;&gt;"Full Refresher"),'G2 MT Reading Scoresheet'!$P23,"")</f>
        <v/>
      </c>
      <c r="J21" s="250">
        <f>'G2 MT Reading Scoresheet'!$U23</f>
        <v/>
      </c>
      <c r="K21" s="57">
        <f>'G2 FIL Reading Scoresheet'!$J23</f>
        <v/>
      </c>
      <c r="L21" s="248">
        <f>IF($C21&lt;&gt;"",'G2 FIL Reading Scoresheet'!$I23/30,"")</f>
        <v/>
      </c>
      <c r="M21" s="248">
        <f>IF(AND($C21&lt;&gt;"",$K21&lt;&gt;"Full Refresher"),'G2 FIL Reading Scoresheet'!$Q23,"")</f>
        <v/>
      </c>
      <c r="N21" s="248">
        <f>IF(AND($C21&lt;&gt;"",K21&lt;&gt;"Full Refresher"),'G2 FIL Reading Scoresheet'!$R23/6,"")</f>
        <v/>
      </c>
      <c r="O21" s="57">
        <f>IF(AND(C21&lt;&gt;"",K21&lt;&gt;"Full Refresher"),'G2 FIL Reading Scoresheet'!$P23,"")</f>
        <v/>
      </c>
      <c r="P21" s="251">
        <f>'G2 FIL Reading Scoresheet'!$U23</f>
        <v/>
      </c>
      <c r="Q21" s="52">
        <f>CONCATENATE(IF(ISBLANK('G2 MT Reading Scoresheet'!V23),"",CONCATENATE("MT:",TRIM('G2 MT Reading Scoresheet'!V23)))," ",IF(ISBLANK('G2 FIL Reading Scoresheet'!V23),"",CONCATENATE("FIL:",TRIM('G2 FIL Reading Scoresheet'!V23))))</f>
        <v/>
      </c>
    </row>
    <row r="22">
      <c r="A22" s="44" t="n">
        <v>14</v>
      </c>
      <c r="B22" s="45">
        <f>IF('G2 MT Reading Scoresheet'!B24&lt;&gt;"",'G2 MT Reading Scoresheet'!B24,"")</f>
        <v/>
      </c>
      <c r="C22" s="46">
        <f>IF('G2 MT Reading Scoresheet'!C24&lt;&gt;"",'G2 MT Reading Scoresheet'!C24,"")</f>
        <v/>
      </c>
      <c r="D22" s="47">
        <f>IF('G2 MT Reading Scoresheet'!D24&lt;&gt;"",'G2 MT Reading Scoresheet'!D24,"")</f>
        <v/>
      </c>
      <c r="E22" s="210">
        <f>'G2 MT Reading Scoresheet'!$J24</f>
        <v/>
      </c>
      <c r="F22" s="246">
        <f>IF(C22&lt;&gt;"",'G2 MT Reading Scoresheet'!$I24/30,"")</f>
        <v/>
      </c>
      <c r="G22" s="246">
        <f>IF(AND($C22&lt;&gt;"",$E22&lt;&gt;"Full Refresher"),'G2 MT Reading Scoresheet'!$Q24,"")</f>
        <v/>
      </c>
      <c r="H22" s="246">
        <f>IF(AND(C22&lt;&gt;"",E22&lt;&gt;"Full Refresher"),'G2 MT Reading Scoresheet'!$R24/6,"")</f>
        <v/>
      </c>
      <c r="I22" s="210">
        <f>IF(AND(D22&lt;&gt;"",F22&lt;&gt;"Full Refresher"),'G2 MT Reading Scoresheet'!$P24,"")</f>
        <v/>
      </c>
      <c r="J22" s="250">
        <f>'G2 MT Reading Scoresheet'!$U24</f>
        <v/>
      </c>
      <c r="K22" s="57">
        <f>'G2 FIL Reading Scoresheet'!$J24</f>
        <v/>
      </c>
      <c r="L22" s="248">
        <f>IF($C22&lt;&gt;"",'G2 FIL Reading Scoresheet'!$I24/30,"")</f>
        <v/>
      </c>
      <c r="M22" s="248">
        <f>IF(AND($C22&lt;&gt;"",$K22&lt;&gt;"Full Refresher"),'G2 FIL Reading Scoresheet'!$Q24,"")</f>
        <v/>
      </c>
      <c r="N22" s="248">
        <f>IF(AND($C22&lt;&gt;"",K22&lt;&gt;"Full Refresher"),'G2 FIL Reading Scoresheet'!$R24/6,"")</f>
        <v/>
      </c>
      <c r="O22" s="57">
        <f>IF(AND(C22&lt;&gt;"",K22&lt;&gt;"Full Refresher"),'G2 FIL Reading Scoresheet'!$P24,"")</f>
        <v/>
      </c>
      <c r="P22" s="251">
        <f>'G2 FIL Reading Scoresheet'!$U24</f>
        <v/>
      </c>
      <c r="Q22" s="48">
        <f>CONCATENATE(IF(ISBLANK('G2 MT Reading Scoresheet'!V24),"",CONCATENATE("MT:",TRIM('G2 MT Reading Scoresheet'!V24)))," ",IF(ISBLANK('G2 FIL Reading Scoresheet'!V24),"",CONCATENATE("FIL:",TRIM('G2 FIL Reading Scoresheet'!V24))))</f>
        <v/>
      </c>
    </row>
    <row r="23">
      <c r="A23" s="43" t="n">
        <v>15</v>
      </c>
      <c r="B23" s="49">
        <f>IF('G2 MT Reading Scoresheet'!B25&lt;&gt;"",'G2 MT Reading Scoresheet'!B25,"")</f>
        <v/>
      </c>
      <c r="C23" s="50">
        <f>IF('G2 MT Reading Scoresheet'!C25&lt;&gt;"",'G2 MT Reading Scoresheet'!C25,"")</f>
        <v/>
      </c>
      <c r="D23" s="51">
        <f>IF('G2 MT Reading Scoresheet'!D25&lt;&gt;"",'G2 MT Reading Scoresheet'!D25,"")</f>
        <v/>
      </c>
      <c r="E23" s="210">
        <f>'G2 MT Reading Scoresheet'!$J25</f>
        <v/>
      </c>
      <c r="F23" s="246">
        <f>IF(C23&lt;&gt;"",'G2 MT Reading Scoresheet'!$I25/30,"")</f>
        <v/>
      </c>
      <c r="G23" s="246">
        <f>IF(AND($C23&lt;&gt;"",$E23&lt;&gt;"Full Refresher"),'G2 MT Reading Scoresheet'!$Q25,"")</f>
        <v/>
      </c>
      <c r="H23" s="246">
        <f>IF(AND(C23&lt;&gt;"",E23&lt;&gt;"Full Refresher"),'G2 MT Reading Scoresheet'!$R25/6,"")</f>
        <v/>
      </c>
      <c r="I23" s="210">
        <f>IF(AND(D23&lt;&gt;"",F23&lt;&gt;"Full Refresher"),'G2 MT Reading Scoresheet'!$P25,"")</f>
        <v/>
      </c>
      <c r="J23" s="250">
        <f>'G2 MT Reading Scoresheet'!$U25</f>
        <v/>
      </c>
      <c r="K23" s="57">
        <f>'G2 FIL Reading Scoresheet'!$J25</f>
        <v/>
      </c>
      <c r="L23" s="248">
        <f>IF($C23&lt;&gt;"",'G2 FIL Reading Scoresheet'!$I25/30,"")</f>
        <v/>
      </c>
      <c r="M23" s="248">
        <f>IF(AND($C23&lt;&gt;"",$K23&lt;&gt;"Full Refresher"),'G2 FIL Reading Scoresheet'!$Q25,"")</f>
        <v/>
      </c>
      <c r="N23" s="248">
        <f>IF(AND($C23&lt;&gt;"",K23&lt;&gt;"Full Refresher"),'G2 FIL Reading Scoresheet'!$R25/6,"")</f>
        <v/>
      </c>
      <c r="O23" s="57">
        <f>IF(AND(C23&lt;&gt;"",K23&lt;&gt;"Full Refresher"),'G2 FIL Reading Scoresheet'!$P25,"")</f>
        <v/>
      </c>
      <c r="P23" s="251">
        <f>'G2 FIL Reading Scoresheet'!$U25</f>
        <v/>
      </c>
      <c r="Q23" s="52">
        <f>CONCATENATE(IF(ISBLANK('G2 MT Reading Scoresheet'!V25),"",CONCATENATE("MT:",TRIM('G2 MT Reading Scoresheet'!V25)))," ",IF(ISBLANK('G2 FIL Reading Scoresheet'!V25),"",CONCATENATE("FIL:",TRIM('G2 FIL Reading Scoresheet'!V25))))</f>
        <v/>
      </c>
    </row>
    <row r="24">
      <c r="A24" s="44" t="n">
        <v>16</v>
      </c>
      <c r="B24" s="45">
        <f>IF('G2 MT Reading Scoresheet'!B26&lt;&gt;"",'G2 MT Reading Scoresheet'!B26,"")</f>
        <v/>
      </c>
      <c r="C24" s="46">
        <f>IF('G2 MT Reading Scoresheet'!C26&lt;&gt;"",'G2 MT Reading Scoresheet'!C26,"")</f>
        <v/>
      </c>
      <c r="D24" s="47">
        <f>IF('G2 MT Reading Scoresheet'!D26&lt;&gt;"",'G2 MT Reading Scoresheet'!D26,"")</f>
        <v/>
      </c>
      <c r="E24" s="210">
        <f>'G2 MT Reading Scoresheet'!$J26</f>
        <v/>
      </c>
      <c r="F24" s="246">
        <f>IF(C24&lt;&gt;"",'G2 MT Reading Scoresheet'!$I26/30,"")</f>
        <v/>
      </c>
      <c r="G24" s="246">
        <f>IF(AND($C24&lt;&gt;"",$E24&lt;&gt;"Full Refresher"),'G2 MT Reading Scoresheet'!$Q26,"")</f>
        <v/>
      </c>
      <c r="H24" s="246">
        <f>IF(AND(C24&lt;&gt;"",E24&lt;&gt;"Full Refresher"),'G2 MT Reading Scoresheet'!$R26/6,"")</f>
        <v/>
      </c>
      <c r="I24" s="210">
        <f>IF(AND(D24&lt;&gt;"",F24&lt;&gt;"Full Refresher"),'G2 MT Reading Scoresheet'!$P26,"")</f>
        <v/>
      </c>
      <c r="J24" s="250">
        <f>'G2 MT Reading Scoresheet'!$U26</f>
        <v/>
      </c>
      <c r="K24" s="57">
        <f>'G2 FIL Reading Scoresheet'!$J26</f>
        <v/>
      </c>
      <c r="L24" s="248">
        <f>IF($C24&lt;&gt;"",'G2 FIL Reading Scoresheet'!$I26/30,"")</f>
        <v/>
      </c>
      <c r="M24" s="248">
        <f>IF(AND($C24&lt;&gt;"",$K24&lt;&gt;"Full Refresher"),'G2 FIL Reading Scoresheet'!$Q26,"")</f>
        <v/>
      </c>
      <c r="N24" s="248">
        <f>IF(AND($C24&lt;&gt;"",K24&lt;&gt;"Full Refresher"),'G2 FIL Reading Scoresheet'!$R26/6,"")</f>
        <v/>
      </c>
      <c r="O24" s="57">
        <f>IF(AND(C24&lt;&gt;"",K24&lt;&gt;"Full Refresher"),'G2 FIL Reading Scoresheet'!$P26,"")</f>
        <v/>
      </c>
      <c r="P24" s="251">
        <f>'G2 FIL Reading Scoresheet'!$U26</f>
        <v/>
      </c>
      <c r="Q24" s="48">
        <f>CONCATENATE(IF(ISBLANK('G2 MT Reading Scoresheet'!V26),"",CONCATENATE("MT:",TRIM('G2 MT Reading Scoresheet'!V26)))," ",IF(ISBLANK('G2 FIL Reading Scoresheet'!V26),"",CONCATENATE("FIL:",TRIM('G2 FIL Reading Scoresheet'!V26))))</f>
        <v/>
      </c>
    </row>
    <row r="25">
      <c r="A25" s="43" t="n">
        <v>17</v>
      </c>
      <c r="B25" s="49">
        <f>IF('G2 MT Reading Scoresheet'!B27&lt;&gt;"",'G2 MT Reading Scoresheet'!B27,"")</f>
        <v/>
      </c>
      <c r="C25" s="50">
        <f>IF('G2 MT Reading Scoresheet'!C27&lt;&gt;"",'G2 MT Reading Scoresheet'!C27,"")</f>
        <v/>
      </c>
      <c r="D25" s="51">
        <f>IF('G2 MT Reading Scoresheet'!D27&lt;&gt;"",'G2 MT Reading Scoresheet'!D27,"")</f>
        <v/>
      </c>
      <c r="E25" s="210">
        <f>'G2 MT Reading Scoresheet'!$J27</f>
        <v/>
      </c>
      <c r="F25" s="246">
        <f>IF(C25&lt;&gt;"",'G2 MT Reading Scoresheet'!$I27/30,"")</f>
        <v/>
      </c>
      <c r="G25" s="246">
        <f>IF(AND($C25&lt;&gt;"",$E25&lt;&gt;"Full Refresher"),'G2 MT Reading Scoresheet'!$Q27,"")</f>
        <v/>
      </c>
      <c r="H25" s="246">
        <f>IF(AND(C25&lt;&gt;"",E25&lt;&gt;"Full Refresher"),'G2 MT Reading Scoresheet'!$R27/6,"")</f>
        <v/>
      </c>
      <c r="I25" s="210">
        <f>IF(AND(D25&lt;&gt;"",F25&lt;&gt;"Full Refresher"),'G2 MT Reading Scoresheet'!$P27,"")</f>
        <v/>
      </c>
      <c r="J25" s="250">
        <f>'G2 MT Reading Scoresheet'!$U27</f>
        <v/>
      </c>
      <c r="K25" s="57">
        <f>'G2 FIL Reading Scoresheet'!$J27</f>
        <v/>
      </c>
      <c r="L25" s="248">
        <f>IF($C25&lt;&gt;"",'G2 FIL Reading Scoresheet'!$I27/30,"")</f>
        <v/>
      </c>
      <c r="M25" s="248">
        <f>IF(AND($C25&lt;&gt;"",$K25&lt;&gt;"Full Refresher"),'G2 FIL Reading Scoresheet'!$Q27,"")</f>
        <v/>
      </c>
      <c r="N25" s="248">
        <f>IF(AND($C25&lt;&gt;"",K25&lt;&gt;"Full Refresher"),'G2 FIL Reading Scoresheet'!$R27/6,"")</f>
        <v/>
      </c>
      <c r="O25" s="57">
        <f>IF(AND(C25&lt;&gt;"",K25&lt;&gt;"Full Refresher"),'G2 FIL Reading Scoresheet'!$P27,"")</f>
        <v/>
      </c>
      <c r="P25" s="251">
        <f>'G2 FIL Reading Scoresheet'!$U27</f>
        <v/>
      </c>
      <c r="Q25" s="52">
        <f>CONCATENATE(IF(ISBLANK('G2 MT Reading Scoresheet'!V27),"",CONCATENATE("MT:",TRIM('G2 MT Reading Scoresheet'!V27)))," ",IF(ISBLANK('G2 FIL Reading Scoresheet'!V27),"",CONCATENATE("FIL:",TRIM('G2 FIL Reading Scoresheet'!V27))))</f>
        <v/>
      </c>
    </row>
    <row r="26">
      <c r="A26" s="44" t="n">
        <v>18</v>
      </c>
      <c r="B26" s="45">
        <f>IF('G2 MT Reading Scoresheet'!B28&lt;&gt;"",'G2 MT Reading Scoresheet'!B28,"")</f>
        <v/>
      </c>
      <c r="C26" s="46">
        <f>IF('G2 MT Reading Scoresheet'!C28&lt;&gt;"",'G2 MT Reading Scoresheet'!C28,"")</f>
        <v/>
      </c>
      <c r="D26" s="47">
        <f>IF('G2 MT Reading Scoresheet'!D28&lt;&gt;"",'G2 MT Reading Scoresheet'!D28,"")</f>
        <v/>
      </c>
      <c r="E26" s="210">
        <f>'G2 MT Reading Scoresheet'!$J28</f>
        <v/>
      </c>
      <c r="F26" s="246">
        <f>IF(C26&lt;&gt;"",'G2 MT Reading Scoresheet'!$I28/30,"")</f>
        <v/>
      </c>
      <c r="G26" s="246">
        <f>IF(AND($C26&lt;&gt;"",$E26&lt;&gt;"Full Refresher"),'G2 MT Reading Scoresheet'!$Q28,"")</f>
        <v/>
      </c>
      <c r="H26" s="246">
        <f>IF(AND(C26&lt;&gt;"",E26&lt;&gt;"Full Refresher"),'G2 MT Reading Scoresheet'!$R28/6,"")</f>
        <v/>
      </c>
      <c r="I26" s="210">
        <f>IF(AND(D26&lt;&gt;"",F26&lt;&gt;"Full Refresher"),'G2 MT Reading Scoresheet'!$P28,"")</f>
        <v/>
      </c>
      <c r="J26" s="250">
        <f>'G2 MT Reading Scoresheet'!$U28</f>
        <v/>
      </c>
      <c r="K26" s="57">
        <f>'G2 FIL Reading Scoresheet'!$J28</f>
        <v/>
      </c>
      <c r="L26" s="248">
        <f>IF($C26&lt;&gt;"",'G2 FIL Reading Scoresheet'!$I28/30,"")</f>
        <v/>
      </c>
      <c r="M26" s="248">
        <f>IF(AND($C26&lt;&gt;"",$K26&lt;&gt;"Full Refresher"),'G2 FIL Reading Scoresheet'!$Q28,"")</f>
        <v/>
      </c>
      <c r="N26" s="248">
        <f>IF(AND($C26&lt;&gt;"",K26&lt;&gt;"Full Refresher"),'G2 FIL Reading Scoresheet'!$R28/6,"")</f>
        <v/>
      </c>
      <c r="O26" s="57">
        <f>IF(AND(C26&lt;&gt;"",K26&lt;&gt;"Full Refresher"),'G2 FIL Reading Scoresheet'!$P28,"")</f>
        <v/>
      </c>
      <c r="P26" s="251">
        <f>'G2 FIL Reading Scoresheet'!$U28</f>
        <v/>
      </c>
      <c r="Q26" s="48">
        <f>CONCATENATE(IF(ISBLANK('G2 MT Reading Scoresheet'!V28),"",CONCATENATE("MT:",TRIM('G2 MT Reading Scoresheet'!V28)))," ",IF(ISBLANK('G2 FIL Reading Scoresheet'!V28),"",CONCATENATE("FIL:",TRIM('G2 FIL Reading Scoresheet'!V28))))</f>
        <v/>
      </c>
    </row>
    <row r="27">
      <c r="A27" s="43" t="n">
        <v>19</v>
      </c>
      <c r="B27" s="49">
        <f>IF('G2 MT Reading Scoresheet'!B29&lt;&gt;"",'G2 MT Reading Scoresheet'!B29,"")</f>
        <v/>
      </c>
      <c r="C27" s="50">
        <f>IF('G2 MT Reading Scoresheet'!C29&lt;&gt;"",'G2 MT Reading Scoresheet'!C29,"")</f>
        <v/>
      </c>
      <c r="D27" s="51">
        <f>IF('G2 MT Reading Scoresheet'!D29&lt;&gt;"",'G2 MT Reading Scoresheet'!D29,"")</f>
        <v/>
      </c>
      <c r="E27" s="210">
        <f>'G2 MT Reading Scoresheet'!$J29</f>
        <v/>
      </c>
      <c r="F27" s="246">
        <f>IF(C27&lt;&gt;"",'G2 MT Reading Scoresheet'!$I29/30,"")</f>
        <v/>
      </c>
      <c r="G27" s="246">
        <f>IF(AND($C27&lt;&gt;"",$E27&lt;&gt;"Full Refresher"),'G2 MT Reading Scoresheet'!$Q29,"")</f>
        <v/>
      </c>
      <c r="H27" s="246">
        <f>IF(AND(C27&lt;&gt;"",E27&lt;&gt;"Full Refresher"),'G2 MT Reading Scoresheet'!$R29/6,"")</f>
        <v/>
      </c>
      <c r="I27" s="210">
        <f>IF(AND(D27&lt;&gt;"",F27&lt;&gt;"Full Refresher"),'G2 MT Reading Scoresheet'!$P29,"")</f>
        <v/>
      </c>
      <c r="J27" s="250">
        <f>'G2 MT Reading Scoresheet'!$U29</f>
        <v/>
      </c>
      <c r="K27" s="57">
        <f>'G2 FIL Reading Scoresheet'!$J29</f>
        <v/>
      </c>
      <c r="L27" s="248">
        <f>IF($C27&lt;&gt;"",'G2 FIL Reading Scoresheet'!$I29/30,"")</f>
        <v/>
      </c>
      <c r="M27" s="248">
        <f>IF(AND($C27&lt;&gt;"",$K27&lt;&gt;"Full Refresher"),'G2 FIL Reading Scoresheet'!$Q29,"")</f>
        <v/>
      </c>
      <c r="N27" s="248">
        <f>IF(AND($C27&lt;&gt;"",K27&lt;&gt;"Full Refresher"),'G2 FIL Reading Scoresheet'!$R29/6,"")</f>
        <v/>
      </c>
      <c r="O27" s="57">
        <f>IF(AND(C27&lt;&gt;"",K27&lt;&gt;"Full Refresher"),'G2 FIL Reading Scoresheet'!$P29,"")</f>
        <v/>
      </c>
      <c r="P27" s="251">
        <f>'G2 FIL Reading Scoresheet'!$U29</f>
        <v/>
      </c>
      <c r="Q27" s="52">
        <f>CONCATENATE(IF(ISBLANK('G2 MT Reading Scoresheet'!V29),"",CONCATENATE("MT:",TRIM('G2 MT Reading Scoresheet'!V29)))," ",IF(ISBLANK('G2 FIL Reading Scoresheet'!V29),"",CONCATENATE("FIL:",TRIM('G2 FIL Reading Scoresheet'!V29))))</f>
        <v/>
      </c>
    </row>
    <row r="28">
      <c r="A28" s="44" t="n">
        <v>20</v>
      </c>
      <c r="B28" s="45">
        <f>IF('G2 MT Reading Scoresheet'!B30&lt;&gt;"",'G2 MT Reading Scoresheet'!B30,"")</f>
        <v/>
      </c>
      <c r="C28" s="46">
        <f>IF('G2 MT Reading Scoresheet'!C30&lt;&gt;"",'G2 MT Reading Scoresheet'!C30,"")</f>
        <v/>
      </c>
      <c r="D28" s="47">
        <f>IF('G2 MT Reading Scoresheet'!D30&lt;&gt;"",'G2 MT Reading Scoresheet'!D30,"")</f>
        <v/>
      </c>
      <c r="E28" s="210">
        <f>'G2 MT Reading Scoresheet'!$J30</f>
        <v/>
      </c>
      <c r="F28" s="246">
        <f>IF(C28&lt;&gt;"",'G2 MT Reading Scoresheet'!$I30/30,"")</f>
        <v/>
      </c>
      <c r="G28" s="246">
        <f>IF(AND($C28&lt;&gt;"",$E28&lt;&gt;"Full Refresher"),'G2 MT Reading Scoresheet'!$Q30,"")</f>
        <v/>
      </c>
      <c r="H28" s="246">
        <f>IF(AND(C28&lt;&gt;"",E28&lt;&gt;"Full Refresher"),'G2 MT Reading Scoresheet'!$R30/6,"")</f>
        <v/>
      </c>
      <c r="I28" s="210">
        <f>IF(AND(D28&lt;&gt;"",F28&lt;&gt;"Full Refresher"),'G2 MT Reading Scoresheet'!$P30,"")</f>
        <v/>
      </c>
      <c r="J28" s="250">
        <f>'G2 MT Reading Scoresheet'!$U30</f>
        <v/>
      </c>
      <c r="K28" s="57">
        <f>'G2 FIL Reading Scoresheet'!$J30</f>
        <v/>
      </c>
      <c r="L28" s="248">
        <f>IF($C28&lt;&gt;"",'G2 FIL Reading Scoresheet'!$I30/30,"")</f>
        <v/>
      </c>
      <c r="M28" s="248">
        <f>IF(AND($C28&lt;&gt;"",$K28&lt;&gt;"Full Refresher"),'G2 FIL Reading Scoresheet'!$Q30,"")</f>
        <v/>
      </c>
      <c r="N28" s="248">
        <f>IF(AND($C28&lt;&gt;"",K28&lt;&gt;"Full Refresher"),'G2 FIL Reading Scoresheet'!$R30/6,"")</f>
        <v/>
      </c>
      <c r="O28" s="57">
        <f>IF(AND(C28&lt;&gt;"",K28&lt;&gt;"Full Refresher"),'G2 FIL Reading Scoresheet'!$P30,"")</f>
        <v/>
      </c>
      <c r="P28" s="251">
        <f>'G2 FIL Reading Scoresheet'!$U30</f>
        <v/>
      </c>
      <c r="Q28" s="48">
        <f>CONCATENATE(IF(ISBLANK('G2 MT Reading Scoresheet'!V30),"",CONCATENATE("MT:",TRIM('G2 MT Reading Scoresheet'!V30)))," ",IF(ISBLANK('G2 FIL Reading Scoresheet'!V30),"",CONCATENATE("FIL:",TRIM('G2 FIL Reading Scoresheet'!V30))))</f>
        <v/>
      </c>
    </row>
    <row r="29">
      <c r="A29" s="43" t="n">
        <v>21</v>
      </c>
      <c r="B29" s="49">
        <f>IF('G2 MT Reading Scoresheet'!B31&lt;&gt;"",'G2 MT Reading Scoresheet'!B31,"")</f>
        <v/>
      </c>
      <c r="C29" s="50">
        <f>IF('G2 MT Reading Scoresheet'!C31&lt;&gt;"",'G2 MT Reading Scoresheet'!C31,"")</f>
        <v/>
      </c>
      <c r="D29" s="51">
        <f>IF('G2 MT Reading Scoresheet'!D31&lt;&gt;"",'G2 MT Reading Scoresheet'!D31,"")</f>
        <v/>
      </c>
      <c r="E29" s="210">
        <f>'G2 MT Reading Scoresheet'!$J31</f>
        <v/>
      </c>
      <c r="F29" s="246">
        <f>IF(C29&lt;&gt;"",'G2 MT Reading Scoresheet'!$I31/30,"")</f>
        <v/>
      </c>
      <c r="G29" s="246">
        <f>IF(AND($C29&lt;&gt;"",$E29&lt;&gt;"Full Refresher"),'G2 MT Reading Scoresheet'!$Q31,"")</f>
        <v/>
      </c>
      <c r="H29" s="246">
        <f>IF(AND(C29&lt;&gt;"",E29&lt;&gt;"Full Refresher"),'G2 MT Reading Scoresheet'!$R31/6,"")</f>
        <v/>
      </c>
      <c r="I29" s="210">
        <f>IF(AND(D29&lt;&gt;"",F29&lt;&gt;"Full Refresher"),'G2 MT Reading Scoresheet'!$P31,"")</f>
        <v/>
      </c>
      <c r="J29" s="250">
        <f>'G2 MT Reading Scoresheet'!$U31</f>
        <v/>
      </c>
      <c r="K29" s="57">
        <f>'G2 FIL Reading Scoresheet'!$J31</f>
        <v/>
      </c>
      <c r="L29" s="248">
        <f>IF($C29&lt;&gt;"",'G2 FIL Reading Scoresheet'!$I31/30,"")</f>
        <v/>
      </c>
      <c r="M29" s="248">
        <f>IF(AND($C29&lt;&gt;"",$K29&lt;&gt;"Full Refresher"),'G2 FIL Reading Scoresheet'!$Q31,"")</f>
        <v/>
      </c>
      <c r="N29" s="248">
        <f>IF(AND($C29&lt;&gt;"",K29&lt;&gt;"Full Refresher"),'G2 FIL Reading Scoresheet'!$R31/6,"")</f>
        <v/>
      </c>
      <c r="O29" s="57">
        <f>IF(AND(C29&lt;&gt;"",K29&lt;&gt;"Full Refresher"),'G2 FIL Reading Scoresheet'!$P31,"")</f>
        <v/>
      </c>
      <c r="P29" s="251">
        <f>'G2 FIL Reading Scoresheet'!$U31</f>
        <v/>
      </c>
      <c r="Q29" s="52">
        <f>CONCATENATE(IF(ISBLANK('G2 MT Reading Scoresheet'!V31),"",CONCATENATE("MT:",TRIM('G2 MT Reading Scoresheet'!V31)))," ",IF(ISBLANK('G2 FIL Reading Scoresheet'!V31),"",CONCATENATE("FIL:",TRIM('G2 FIL Reading Scoresheet'!V31))))</f>
        <v/>
      </c>
    </row>
    <row r="30">
      <c r="A30" s="44" t="n">
        <v>22</v>
      </c>
      <c r="B30" s="45">
        <f>IF('G2 MT Reading Scoresheet'!B32&lt;&gt;"",'G2 MT Reading Scoresheet'!B32,"")</f>
        <v/>
      </c>
      <c r="C30" s="46">
        <f>IF('G2 MT Reading Scoresheet'!C32&lt;&gt;"",'G2 MT Reading Scoresheet'!C32,"")</f>
        <v/>
      </c>
      <c r="D30" s="47">
        <f>IF('G2 MT Reading Scoresheet'!D32&lt;&gt;"",'G2 MT Reading Scoresheet'!D32,"")</f>
        <v/>
      </c>
      <c r="E30" s="210">
        <f>'G2 MT Reading Scoresheet'!$J32</f>
        <v/>
      </c>
      <c r="F30" s="246">
        <f>IF(C30&lt;&gt;"",'G2 MT Reading Scoresheet'!$I32/30,"")</f>
        <v/>
      </c>
      <c r="G30" s="246">
        <f>IF(AND($C30&lt;&gt;"",$E30&lt;&gt;"Full Refresher"),'G2 MT Reading Scoresheet'!$Q32,"")</f>
        <v/>
      </c>
      <c r="H30" s="246">
        <f>IF(AND(C30&lt;&gt;"",E30&lt;&gt;"Full Refresher"),'G2 MT Reading Scoresheet'!$R32/6,"")</f>
        <v/>
      </c>
      <c r="I30" s="210">
        <f>IF(AND(D30&lt;&gt;"",F30&lt;&gt;"Full Refresher"),'G2 MT Reading Scoresheet'!$P32,"")</f>
        <v/>
      </c>
      <c r="J30" s="250">
        <f>'G2 MT Reading Scoresheet'!$U32</f>
        <v/>
      </c>
      <c r="K30" s="57">
        <f>'G2 FIL Reading Scoresheet'!$J32</f>
        <v/>
      </c>
      <c r="L30" s="248">
        <f>IF($C30&lt;&gt;"",'G2 FIL Reading Scoresheet'!$I32/30,"")</f>
        <v/>
      </c>
      <c r="M30" s="248">
        <f>IF(AND($C30&lt;&gt;"",$K30&lt;&gt;"Full Refresher"),'G2 FIL Reading Scoresheet'!$Q32,"")</f>
        <v/>
      </c>
      <c r="N30" s="248">
        <f>IF(AND($C30&lt;&gt;"",K30&lt;&gt;"Full Refresher"),'G2 FIL Reading Scoresheet'!$R32/6,"")</f>
        <v/>
      </c>
      <c r="O30" s="57">
        <f>IF(AND(C30&lt;&gt;"",K30&lt;&gt;"Full Refresher"),'G2 FIL Reading Scoresheet'!$P32,"")</f>
        <v/>
      </c>
      <c r="P30" s="251">
        <f>'G2 FIL Reading Scoresheet'!$U32</f>
        <v/>
      </c>
      <c r="Q30" s="48">
        <f>CONCATENATE(IF(ISBLANK('G2 MT Reading Scoresheet'!V32),"",CONCATENATE("MT:",TRIM('G2 MT Reading Scoresheet'!V32)))," ",IF(ISBLANK('G2 FIL Reading Scoresheet'!V32),"",CONCATENATE("FIL:",TRIM('G2 FIL Reading Scoresheet'!V32))))</f>
        <v/>
      </c>
    </row>
    <row r="31">
      <c r="A31" s="43" t="n">
        <v>23</v>
      </c>
      <c r="B31" s="49">
        <f>IF('G2 MT Reading Scoresheet'!B33&lt;&gt;"",'G2 MT Reading Scoresheet'!B33,"")</f>
        <v/>
      </c>
      <c r="C31" s="50">
        <f>IF('G2 MT Reading Scoresheet'!C33&lt;&gt;"",'G2 MT Reading Scoresheet'!C33,"")</f>
        <v/>
      </c>
      <c r="D31" s="51">
        <f>IF('G2 MT Reading Scoresheet'!D33&lt;&gt;"",'G2 MT Reading Scoresheet'!D33,"")</f>
        <v/>
      </c>
      <c r="E31" s="210">
        <f>'G2 MT Reading Scoresheet'!$J33</f>
        <v/>
      </c>
      <c r="F31" s="246">
        <f>IF(C31&lt;&gt;"",'G2 MT Reading Scoresheet'!$I33/30,"")</f>
        <v/>
      </c>
      <c r="G31" s="246">
        <f>IF(AND($C31&lt;&gt;"",$E31&lt;&gt;"Full Refresher"),'G2 MT Reading Scoresheet'!$Q33,"")</f>
        <v/>
      </c>
      <c r="H31" s="246">
        <f>IF(AND(C31&lt;&gt;"",E31&lt;&gt;"Full Refresher"),'G2 MT Reading Scoresheet'!$R33/6,"")</f>
        <v/>
      </c>
      <c r="I31" s="210">
        <f>IF(AND(D31&lt;&gt;"",F31&lt;&gt;"Full Refresher"),'G2 MT Reading Scoresheet'!$P33,"")</f>
        <v/>
      </c>
      <c r="J31" s="250">
        <f>'G2 MT Reading Scoresheet'!$U33</f>
        <v/>
      </c>
      <c r="K31" s="57">
        <f>'G2 FIL Reading Scoresheet'!$J33</f>
        <v/>
      </c>
      <c r="L31" s="248">
        <f>IF($C31&lt;&gt;"",'G2 FIL Reading Scoresheet'!$I33/30,"")</f>
        <v/>
      </c>
      <c r="M31" s="248">
        <f>IF(AND($C31&lt;&gt;"",$K31&lt;&gt;"Full Refresher"),'G2 FIL Reading Scoresheet'!$Q33,"")</f>
        <v/>
      </c>
      <c r="N31" s="248">
        <f>IF(AND($C31&lt;&gt;"",K31&lt;&gt;"Full Refresher"),'G2 FIL Reading Scoresheet'!$R33/6,"")</f>
        <v/>
      </c>
      <c r="O31" s="57">
        <f>IF(AND(C31&lt;&gt;"",K31&lt;&gt;"Full Refresher"),'G2 FIL Reading Scoresheet'!$P33,"")</f>
        <v/>
      </c>
      <c r="P31" s="251">
        <f>'G2 FIL Reading Scoresheet'!$U33</f>
        <v/>
      </c>
      <c r="Q31" s="52">
        <f>CONCATENATE(IF(ISBLANK('G2 MT Reading Scoresheet'!V33),"",CONCATENATE("MT:",TRIM('G2 MT Reading Scoresheet'!V33)))," ",IF(ISBLANK('G2 FIL Reading Scoresheet'!V33),"",CONCATENATE("FIL:",TRIM('G2 FIL Reading Scoresheet'!V33))))</f>
        <v/>
      </c>
    </row>
    <row r="32">
      <c r="A32" s="44" t="n">
        <v>24</v>
      </c>
      <c r="B32" s="45">
        <f>IF('G2 MT Reading Scoresheet'!B34&lt;&gt;"",'G2 MT Reading Scoresheet'!B34,"")</f>
        <v/>
      </c>
      <c r="C32" s="46">
        <f>IF('G2 MT Reading Scoresheet'!C34&lt;&gt;"",'G2 MT Reading Scoresheet'!C34,"")</f>
        <v/>
      </c>
      <c r="D32" s="47">
        <f>IF('G2 MT Reading Scoresheet'!D34&lt;&gt;"",'G2 MT Reading Scoresheet'!D34,"")</f>
        <v/>
      </c>
      <c r="E32" s="210">
        <f>'G2 MT Reading Scoresheet'!$J34</f>
        <v/>
      </c>
      <c r="F32" s="246">
        <f>IF(C32&lt;&gt;"",'G2 MT Reading Scoresheet'!$I34/30,"")</f>
        <v/>
      </c>
      <c r="G32" s="246">
        <f>IF(AND($C32&lt;&gt;"",$E32&lt;&gt;"Full Refresher"),'G2 MT Reading Scoresheet'!$Q34,"")</f>
        <v/>
      </c>
      <c r="H32" s="246">
        <f>IF(AND(C32&lt;&gt;"",E32&lt;&gt;"Full Refresher"),'G2 MT Reading Scoresheet'!$R34/6,"")</f>
        <v/>
      </c>
      <c r="I32" s="210">
        <f>IF(AND(D32&lt;&gt;"",F32&lt;&gt;"Full Refresher"),'G2 MT Reading Scoresheet'!$P34,"")</f>
        <v/>
      </c>
      <c r="J32" s="250">
        <f>'G2 MT Reading Scoresheet'!$U34</f>
        <v/>
      </c>
      <c r="K32" s="57">
        <f>'G2 FIL Reading Scoresheet'!$J34</f>
        <v/>
      </c>
      <c r="L32" s="248">
        <f>IF($C32&lt;&gt;"",'G2 FIL Reading Scoresheet'!$I34/30,"")</f>
        <v/>
      </c>
      <c r="M32" s="248">
        <f>IF(AND($C32&lt;&gt;"",$K32&lt;&gt;"Full Refresher"),'G2 FIL Reading Scoresheet'!$Q34,"")</f>
        <v/>
      </c>
      <c r="N32" s="248">
        <f>IF(AND($C32&lt;&gt;"",K32&lt;&gt;"Full Refresher"),'G2 FIL Reading Scoresheet'!$R34/6,"")</f>
        <v/>
      </c>
      <c r="O32" s="57">
        <f>IF(AND(C32&lt;&gt;"",K32&lt;&gt;"Full Refresher"),'G2 FIL Reading Scoresheet'!$P34,"")</f>
        <v/>
      </c>
      <c r="P32" s="251">
        <f>'G2 FIL Reading Scoresheet'!$U34</f>
        <v/>
      </c>
      <c r="Q32" s="48">
        <f>CONCATENATE(IF(ISBLANK('G2 MT Reading Scoresheet'!V34),"",CONCATENATE("MT:",TRIM('G2 MT Reading Scoresheet'!V34)))," ",IF(ISBLANK('G2 FIL Reading Scoresheet'!V34),"",CONCATENATE("FIL:",TRIM('G2 FIL Reading Scoresheet'!V34))))</f>
        <v/>
      </c>
    </row>
    <row r="33">
      <c r="A33" s="43" t="n">
        <v>25</v>
      </c>
      <c r="B33" s="49">
        <f>IF('G2 MT Reading Scoresheet'!B35&lt;&gt;"",'G2 MT Reading Scoresheet'!B35,"")</f>
        <v/>
      </c>
      <c r="C33" s="50">
        <f>IF('G2 MT Reading Scoresheet'!C35&lt;&gt;"",'G2 MT Reading Scoresheet'!C35,"")</f>
        <v/>
      </c>
      <c r="D33" s="51">
        <f>IF('G2 MT Reading Scoresheet'!D35&lt;&gt;"",'G2 MT Reading Scoresheet'!D35,"")</f>
        <v/>
      </c>
      <c r="E33" s="210">
        <f>'G2 MT Reading Scoresheet'!$J35</f>
        <v/>
      </c>
      <c r="F33" s="246">
        <f>IF(C33&lt;&gt;"",'G2 MT Reading Scoresheet'!$I35/30,"")</f>
        <v/>
      </c>
      <c r="G33" s="246">
        <f>IF(AND($C33&lt;&gt;"",$E33&lt;&gt;"Full Refresher"),'G2 MT Reading Scoresheet'!$Q35,"")</f>
        <v/>
      </c>
      <c r="H33" s="246">
        <f>IF(AND(C33&lt;&gt;"",E33&lt;&gt;"Full Refresher"),'G2 MT Reading Scoresheet'!$R35/6,"")</f>
        <v/>
      </c>
      <c r="I33" s="210">
        <f>IF(AND(D33&lt;&gt;"",F33&lt;&gt;"Full Refresher"),'G2 MT Reading Scoresheet'!$P35,"")</f>
        <v/>
      </c>
      <c r="J33" s="250">
        <f>'G2 MT Reading Scoresheet'!$U35</f>
        <v/>
      </c>
      <c r="K33" s="57">
        <f>'G2 FIL Reading Scoresheet'!$J35</f>
        <v/>
      </c>
      <c r="L33" s="248">
        <f>IF($C33&lt;&gt;"",'G2 FIL Reading Scoresheet'!$I35/30,"")</f>
        <v/>
      </c>
      <c r="M33" s="248">
        <f>IF(AND($C33&lt;&gt;"",$K33&lt;&gt;"Full Refresher"),'G2 FIL Reading Scoresheet'!$Q35,"")</f>
        <v/>
      </c>
      <c r="N33" s="248">
        <f>IF(AND($C33&lt;&gt;"",K33&lt;&gt;"Full Refresher"),'G2 FIL Reading Scoresheet'!$R35/6,"")</f>
        <v/>
      </c>
      <c r="O33" s="57">
        <f>IF(AND(C33&lt;&gt;"",K33&lt;&gt;"Full Refresher"),'G2 FIL Reading Scoresheet'!$P35,"")</f>
        <v/>
      </c>
      <c r="P33" s="251">
        <f>'G2 FIL Reading Scoresheet'!$U35</f>
        <v/>
      </c>
      <c r="Q33" s="52">
        <f>CONCATENATE(IF(ISBLANK('G2 MT Reading Scoresheet'!V35),"",CONCATENATE("MT:",TRIM('G2 MT Reading Scoresheet'!V35)))," ",IF(ISBLANK('G2 FIL Reading Scoresheet'!V35),"",CONCATENATE("FIL:",TRIM('G2 FIL Reading Scoresheet'!V35))))</f>
        <v/>
      </c>
    </row>
    <row r="34">
      <c r="A34" s="44" t="n">
        <v>26</v>
      </c>
      <c r="B34" s="45">
        <f>IF('G2 MT Reading Scoresheet'!B36&lt;&gt;"",'G2 MT Reading Scoresheet'!B36,"")</f>
        <v/>
      </c>
      <c r="C34" s="46">
        <f>IF('G2 MT Reading Scoresheet'!C36&lt;&gt;"",'G2 MT Reading Scoresheet'!C36,"")</f>
        <v/>
      </c>
      <c r="D34" s="47">
        <f>IF('G2 MT Reading Scoresheet'!D36&lt;&gt;"",'G2 MT Reading Scoresheet'!D36,"")</f>
        <v/>
      </c>
      <c r="E34" s="210">
        <f>'G2 MT Reading Scoresheet'!$J36</f>
        <v/>
      </c>
      <c r="F34" s="246">
        <f>IF(C34&lt;&gt;"",'G2 MT Reading Scoresheet'!$I36/30,"")</f>
        <v/>
      </c>
      <c r="G34" s="246">
        <f>IF(AND($C34&lt;&gt;"",$E34&lt;&gt;"Full Refresher"),'G2 MT Reading Scoresheet'!$Q36,"")</f>
        <v/>
      </c>
      <c r="H34" s="246">
        <f>IF(AND(C34&lt;&gt;"",E34&lt;&gt;"Full Refresher"),'G2 MT Reading Scoresheet'!$R36/6,"")</f>
        <v/>
      </c>
      <c r="I34" s="210">
        <f>IF(AND(D34&lt;&gt;"",F34&lt;&gt;"Full Refresher"),'G2 MT Reading Scoresheet'!$P36,"")</f>
        <v/>
      </c>
      <c r="J34" s="250">
        <f>'G2 MT Reading Scoresheet'!$U36</f>
        <v/>
      </c>
      <c r="K34" s="57">
        <f>'G2 FIL Reading Scoresheet'!$J36</f>
        <v/>
      </c>
      <c r="L34" s="248">
        <f>IF($C34&lt;&gt;"",'G2 FIL Reading Scoresheet'!$I36/30,"")</f>
        <v/>
      </c>
      <c r="M34" s="248">
        <f>IF(AND($C34&lt;&gt;"",$K34&lt;&gt;"Full Refresher"),'G2 FIL Reading Scoresheet'!$Q36,"")</f>
        <v/>
      </c>
      <c r="N34" s="248">
        <f>IF(AND($C34&lt;&gt;"",K34&lt;&gt;"Full Refresher"),'G2 FIL Reading Scoresheet'!$R36/6,"")</f>
        <v/>
      </c>
      <c r="O34" s="57">
        <f>IF(AND(C34&lt;&gt;"",K34&lt;&gt;"Full Refresher"),'G2 FIL Reading Scoresheet'!$P36,"")</f>
        <v/>
      </c>
      <c r="P34" s="251">
        <f>'G2 FIL Reading Scoresheet'!$U36</f>
        <v/>
      </c>
      <c r="Q34" s="48">
        <f>CONCATENATE(IF(ISBLANK('G2 MT Reading Scoresheet'!V36),"",CONCATENATE("MT:",TRIM('G2 MT Reading Scoresheet'!V36)))," ",IF(ISBLANK('G2 FIL Reading Scoresheet'!V36),"",CONCATENATE("FIL:",TRIM('G2 FIL Reading Scoresheet'!V36))))</f>
        <v/>
      </c>
    </row>
    <row r="35">
      <c r="A35" s="43" t="n">
        <v>27</v>
      </c>
      <c r="B35" s="49">
        <f>IF('G2 MT Reading Scoresheet'!B37&lt;&gt;"",'G2 MT Reading Scoresheet'!B37,"")</f>
        <v/>
      </c>
      <c r="C35" s="50">
        <f>IF('G2 MT Reading Scoresheet'!C37&lt;&gt;"",'G2 MT Reading Scoresheet'!C37,"")</f>
        <v/>
      </c>
      <c r="D35" s="51">
        <f>IF('G2 MT Reading Scoresheet'!D37&lt;&gt;"",'G2 MT Reading Scoresheet'!D37,"")</f>
        <v/>
      </c>
      <c r="E35" s="210">
        <f>'G2 MT Reading Scoresheet'!$J37</f>
        <v/>
      </c>
      <c r="F35" s="246">
        <f>IF(C35&lt;&gt;"",'G2 MT Reading Scoresheet'!$I37/30,"")</f>
        <v/>
      </c>
      <c r="G35" s="246">
        <f>IF(AND($C35&lt;&gt;"",$E35&lt;&gt;"Full Refresher"),'G2 MT Reading Scoresheet'!$Q37,"")</f>
        <v/>
      </c>
      <c r="H35" s="246">
        <f>IF(AND(C35&lt;&gt;"",E35&lt;&gt;"Full Refresher"),'G2 MT Reading Scoresheet'!$R37/6,"")</f>
        <v/>
      </c>
      <c r="I35" s="210">
        <f>IF(AND(D35&lt;&gt;"",F35&lt;&gt;"Full Refresher"),'G2 MT Reading Scoresheet'!$P37,"")</f>
        <v/>
      </c>
      <c r="J35" s="250">
        <f>'G2 MT Reading Scoresheet'!$U37</f>
        <v/>
      </c>
      <c r="K35" s="57">
        <f>'G2 FIL Reading Scoresheet'!$J37</f>
        <v/>
      </c>
      <c r="L35" s="248">
        <f>IF($C35&lt;&gt;"",'G2 FIL Reading Scoresheet'!$I37/30,"")</f>
        <v/>
      </c>
      <c r="M35" s="248">
        <f>IF(AND($C35&lt;&gt;"",$K35&lt;&gt;"Full Refresher"),'G2 FIL Reading Scoresheet'!$Q37,"")</f>
        <v/>
      </c>
      <c r="N35" s="248">
        <f>IF(AND($C35&lt;&gt;"",K35&lt;&gt;"Full Refresher"),'G2 FIL Reading Scoresheet'!$R37/6,"")</f>
        <v/>
      </c>
      <c r="O35" s="57">
        <f>IF(AND(C35&lt;&gt;"",K35&lt;&gt;"Full Refresher"),'G2 FIL Reading Scoresheet'!$P37,"")</f>
        <v/>
      </c>
      <c r="P35" s="251">
        <f>'G2 FIL Reading Scoresheet'!$U37</f>
        <v/>
      </c>
      <c r="Q35" s="52">
        <f>CONCATENATE(IF(ISBLANK('G2 MT Reading Scoresheet'!V37),"",CONCATENATE("MT:",TRIM('G2 MT Reading Scoresheet'!V37)))," ",IF(ISBLANK('G2 FIL Reading Scoresheet'!V37),"",CONCATENATE("FIL:",TRIM('G2 FIL Reading Scoresheet'!V37))))</f>
        <v/>
      </c>
    </row>
    <row r="36">
      <c r="A36" s="44" t="n">
        <v>28</v>
      </c>
      <c r="B36" s="45">
        <f>IF('G2 MT Reading Scoresheet'!B38&lt;&gt;"",'G2 MT Reading Scoresheet'!B38,"")</f>
        <v/>
      </c>
      <c r="C36" s="46">
        <f>IF('G2 MT Reading Scoresheet'!C38&lt;&gt;"",'G2 MT Reading Scoresheet'!C38,"")</f>
        <v/>
      </c>
      <c r="D36" s="47">
        <f>IF('G2 MT Reading Scoresheet'!D38&lt;&gt;"",'G2 MT Reading Scoresheet'!D38,"")</f>
        <v/>
      </c>
      <c r="E36" s="210">
        <f>'G2 MT Reading Scoresheet'!$J38</f>
        <v/>
      </c>
      <c r="F36" s="246">
        <f>IF(C36&lt;&gt;"",'G2 MT Reading Scoresheet'!$I38/30,"")</f>
        <v/>
      </c>
      <c r="G36" s="246">
        <f>IF(AND($C36&lt;&gt;"",$E36&lt;&gt;"Full Refresher"),'G2 MT Reading Scoresheet'!$Q38,"")</f>
        <v/>
      </c>
      <c r="H36" s="246">
        <f>IF(AND(C36&lt;&gt;"",E36&lt;&gt;"Full Refresher"),'G2 MT Reading Scoresheet'!$R38/6,"")</f>
        <v/>
      </c>
      <c r="I36" s="210">
        <f>IF(AND(D36&lt;&gt;"",F36&lt;&gt;"Full Refresher"),'G2 MT Reading Scoresheet'!$P38,"")</f>
        <v/>
      </c>
      <c r="J36" s="250">
        <f>'G2 MT Reading Scoresheet'!$U38</f>
        <v/>
      </c>
      <c r="K36" s="57">
        <f>'G2 FIL Reading Scoresheet'!$J38</f>
        <v/>
      </c>
      <c r="L36" s="248">
        <f>IF($C36&lt;&gt;"",'G2 FIL Reading Scoresheet'!$I38/30,"")</f>
        <v/>
      </c>
      <c r="M36" s="248">
        <f>IF(AND($C36&lt;&gt;"",$K36&lt;&gt;"Full Refresher"),'G2 FIL Reading Scoresheet'!$Q38,"")</f>
        <v/>
      </c>
      <c r="N36" s="248">
        <f>IF(AND($C36&lt;&gt;"",K36&lt;&gt;"Full Refresher"),'G2 FIL Reading Scoresheet'!$R38/6,"")</f>
        <v/>
      </c>
      <c r="O36" s="57">
        <f>IF(AND(C36&lt;&gt;"",K36&lt;&gt;"Full Refresher"),'G2 FIL Reading Scoresheet'!$P38,"")</f>
        <v/>
      </c>
      <c r="P36" s="251">
        <f>'G2 FIL Reading Scoresheet'!$U38</f>
        <v/>
      </c>
      <c r="Q36" s="48">
        <f>CONCATENATE(IF(ISBLANK('G2 MT Reading Scoresheet'!V38),"",CONCATENATE("MT:",TRIM('G2 MT Reading Scoresheet'!V38)))," ",IF(ISBLANK('G2 FIL Reading Scoresheet'!V38),"",CONCATENATE("FIL:",TRIM('G2 FIL Reading Scoresheet'!V38))))</f>
        <v/>
      </c>
    </row>
    <row r="37">
      <c r="A37" s="43" t="n">
        <v>29</v>
      </c>
      <c r="B37" s="49">
        <f>IF('G2 MT Reading Scoresheet'!B39&lt;&gt;"",'G2 MT Reading Scoresheet'!B39,"")</f>
        <v/>
      </c>
      <c r="C37" s="50">
        <f>IF('G2 MT Reading Scoresheet'!C39&lt;&gt;"",'G2 MT Reading Scoresheet'!C39,"")</f>
        <v/>
      </c>
      <c r="D37" s="51">
        <f>IF('G2 MT Reading Scoresheet'!D39&lt;&gt;"",'G2 MT Reading Scoresheet'!D39,"")</f>
        <v/>
      </c>
      <c r="E37" s="210">
        <f>'G2 MT Reading Scoresheet'!$J39</f>
        <v/>
      </c>
      <c r="F37" s="246">
        <f>IF(C37&lt;&gt;"",'G2 MT Reading Scoresheet'!$I39/30,"")</f>
        <v/>
      </c>
      <c r="G37" s="246">
        <f>IF(AND($C37&lt;&gt;"",$E37&lt;&gt;"Full Refresher"),'G2 MT Reading Scoresheet'!$Q39,"")</f>
        <v/>
      </c>
      <c r="H37" s="246">
        <f>IF(AND(C37&lt;&gt;"",E37&lt;&gt;"Full Refresher"),'G2 MT Reading Scoresheet'!$R39/6,"")</f>
        <v/>
      </c>
      <c r="I37" s="210">
        <f>IF(AND(D37&lt;&gt;"",F37&lt;&gt;"Full Refresher"),'G2 MT Reading Scoresheet'!$P39,"")</f>
        <v/>
      </c>
      <c r="J37" s="250">
        <f>'G2 MT Reading Scoresheet'!$U39</f>
        <v/>
      </c>
      <c r="K37" s="57">
        <f>'G2 FIL Reading Scoresheet'!$J39</f>
        <v/>
      </c>
      <c r="L37" s="248">
        <f>IF($C37&lt;&gt;"",'G2 FIL Reading Scoresheet'!$I39/30,"")</f>
        <v/>
      </c>
      <c r="M37" s="248">
        <f>IF(AND($C37&lt;&gt;"",$K37&lt;&gt;"Full Refresher"),'G2 FIL Reading Scoresheet'!$Q39,"")</f>
        <v/>
      </c>
      <c r="N37" s="248">
        <f>IF(AND($C37&lt;&gt;"",K37&lt;&gt;"Full Refresher"),'G2 FIL Reading Scoresheet'!$R39/6,"")</f>
        <v/>
      </c>
      <c r="O37" s="57">
        <f>IF(AND(C37&lt;&gt;"",K37&lt;&gt;"Full Refresher"),'G2 FIL Reading Scoresheet'!$P39,"")</f>
        <v/>
      </c>
      <c r="P37" s="251">
        <f>'G2 FIL Reading Scoresheet'!$U39</f>
        <v/>
      </c>
      <c r="Q37" s="52">
        <f>CONCATENATE(IF(ISBLANK('G2 MT Reading Scoresheet'!V39),"",CONCATENATE("MT:",TRIM('G2 MT Reading Scoresheet'!V39)))," ",IF(ISBLANK('G2 FIL Reading Scoresheet'!V39),"",CONCATENATE("FIL:",TRIM('G2 FIL Reading Scoresheet'!V39))))</f>
        <v/>
      </c>
    </row>
    <row r="38">
      <c r="A38" s="44" t="n">
        <v>30</v>
      </c>
      <c r="B38" s="45">
        <f>IF('G2 MT Reading Scoresheet'!B40&lt;&gt;"",'G2 MT Reading Scoresheet'!B40,"")</f>
        <v/>
      </c>
      <c r="C38" s="46">
        <f>IF('G2 MT Reading Scoresheet'!C40&lt;&gt;"",'G2 MT Reading Scoresheet'!C40,"")</f>
        <v/>
      </c>
      <c r="D38" s="47">
        <f>IF('G2 MT Reading Scoresheet'!D40&lt;&gt;"",'G2 MT Reading Scoresheet'!D40,"")</f>
        <v/>
      </c>
      <c r="E38" s="210">
        <f>'G2 MT Reading Scoresheet'!$J40</f>
        <v/>
      </c>
      <c r="F38" s="246">
        <f>IF(C38&lt;&gt;"",'G2 MT Reading Scoresheet'!$I40/30,"")</f>
        <v/>
      </c>
      <c r="G38" s="246">
        <f>IF(AND($C38&lt;&gt;"",$E38&lt;&gt;"Full Refresher"),'G2 MT Reading Scoresheet'!$Q40,"")</f>
        <v/>
      </c>
      <c r="H38" s="246">
        <f>IF(AND(C38&lt;&gt;"",E38&lt;&gt;"Full Refresher"),'G2 MT Reading Scoresheet'!$R40/6,"")</f>
        <v/>
      </c>
      <c r="I38" s="210">
        <f>IF(AND(D38&lt;&gt;"",F38&lt;&gt;"Full Refresher"),'G2 MT Reading Scoresheet'!$P40,"")</f>
        <v/>
      </c>
      <c r="J38" s="250">
        <f>'G2 MT Reading Scoresheet'!$U40</f>
        <v/>
      </c>
      <c r="K38" s="57">
        <f>'G2 FIL Reading Scoresheet'!$J40</f>
        <v/>
      </c>
      <c r="L38" s="248">
        <f>IF($C38&lt;&gt;"",'G2 FIL Reading Scoresheet'!$I40/30,"")</f>
        <v/>
      </c>
      <c r="M38" s="248">
        <f>IF(AND($C38&lt;&gt;"",$K38&lt;&gt;"Full Refresher"),'G2 FIL Reading Scoresheet'!$Q40,"")</f>
        <v/>
      </c>
      <c r="N38" s="248">
        <f>IF(AND($C38&lt;&gt;"",K38&lt;&gt;"Full Refresher"),'G2 FIL Reading Scoresheet'!$R40/6,"")</f>
        <v/>
      </c>
      <c r="O38" s="57">
        <f>IF(AND(C38&lt;&gt;"",K38&lt;&gt;"Full Refresher"),'G2 FIL Reading Scoresheet'!$P40,"")</f>
        <v/>
      </c>
      <c r="P38" s="251">
        <f>'G2 FIL Reading Scoresheet'!$U40</f>
        <v/>
      </c>
      <c r="Q38" s="48">
        <f>CONCATENATE(IF(ISBLANK('G2 MT Reading Scoresheet'!V40),"",CONCATENATE("MT:",TRIM('G2 MT Reading Scoresheet'!V40)))," ",IF(ISBLANK('G2 FIL Reading Scoresheet'!V40),"",CONCATENATE("FIL:",TRIM('G2 FIL Reading Scoresheet'!V40))))</f>
        <v/>
      </c>
    </row>
    <row r="39">
      <c r="A39" s="43" t="n">
        <v>31</v>
      </c>
      <c r="B39" s="49">
        <f>IF('G2 MT Reading Scoresheet'!B41&lt;&gt;"",'G2 MT Reading Scoresheet'!B41,"")</f>
        <v/>
      </c>
      <c r="C39" s="50">
        <f>IF('G2 MT Reading Scoresheet'!C41&lt;&gt;"",'G2 MT Reading Scoresheet'!C41,"")</f>
        <v/>
      </c>
      <c r="D39" s="51">
        <f>IF('G2 MT Reading Scoresheet'!D41&lt;&gt;"",'G2 MT Reading Scoresheet'!D41,"")</f>
        <v/>
      </c>
      <c r="E39" s="210">
        <f>'G2 MT Reading Scoresheet'!$J41</f>
        <v/>
      </c>
      <c r="F39" s="246">
        <f>IF(C39&lt;&gt;"",'G2 MT Reading Scoresheet'!$I41/30,"")</f>
        <v/>
      </c>
      <c r="G39" s="246">
        <f>IF(AND($C39&lt;&gt;"",$E39&lt;&gt;"Full Refresher"),'G2 MT Reading Scoresheet'!$Q41,"")</f>
        <v/>
      </c>
      <c r="H39" s="246">
        <f>IF(AND(C39&lt;&gt;"",E39&lt;&gt;"Full Refresher"),'G2 MT Reading Scoresheet'!$R41/6,"")</f>
        <v/>
      </c>
      <c r="I39" s="210">
        <f>IF(AND(D39&lt;&gt;"",F39&lt;&gt;"Full Refresher"),'G2 MT Reading Scoresheet'!$P41,"")</f>
        <v/>
      </c>
      <c r="J39" s="250">
        <f>'G2 MT Reading Scoresheet'!$U41</f>
        <v/>
      </c>
      <c r="K39" s="57">
        <f>'G2 FIL Reading Scoresheet'!$J41</f>
        <v/>
      </c>
      <c r="L39" s="248">
        <f>IF($C39&lt;&gt;"",'G2 FIL Reading Scoresheet'!$I41/30,"")</f>
        <v/>
      </c>
      <c r="M39" s="248">
        <f>IF(AND($C39&lt;&gt;"",$K39&lt;&gt;"Full Refresher"),'G2 FIL Reading Scoresheet'!$Q41,"")</f>
        <v/>
      </c>
      <c r="N39" s="248">
        <f>IF(AND($C39&lt;&gt;"",K39&lt;&gt;"Full Refresher"),'G2 FIL Reading Scoresheet'!$R41/6,"")</f>
        <v/>
      </c>
      <c r="O39" s="57">
        <f>IF(AND(C39&lt;&gt;"",K39&lt;&gt;"Full Refresher"),'G2 FIL Reading Scoresheet'!$P41,"")</f>
        <v/>
      </c>
      <c r="P39" s="251">
        <f>'G2 FIL Reading Scoresheet'!$U41</f>
        <v/>
      </c>
      <c r="Q39" s="52">
        <f>CONCATENATE(IF(ISBLANK('G2 MT Reading Scoresheet'!V41),"",CONCATENATE("MT:",TRIM('G2 MT Reading Scoresheet'!V41)))," ",IF(ISBLANK('G2 FIL Reading Scoresheet'!V41),"",CONCATENATE("FIL:",TRIM('G2 FIL Reading Scoresheet'!V41))))</f>
        <v/>
      </c>
    </row>
    <row r="40">
      <c r="A40" s="44" t="n">
        <v>32</v>
      </c>
      <c r="B40" s="45">
        <f>IF('G2 MT Reading Scoresheet'!B42&lt;&gt;"",'G2 MT Reading Scoresheet'!B42,"")</f>
        <v/>
      </c>
      <c r="C40" s="46">
        <f>IF('G2 MT Reading Scoresheet'!C42&lt;&gt;"",'G2 MT Reading Scoresheet'!C42,"")</f>
        <v/>
      </c>
      <c r="D40" s="47">
        <f>IF('G2 MT Reading Scoresheet'!D42&lt;&gt;"",'G2 MT Reading Scoresheet'!D42,"")</f>
        <v/>
      </c>
      <c r="E40" s="210">
        <f>'G2 MT Reading Scoresheet'!$J42</f>
        <v/>
      </c>
      <c r="F40" s="246">
        <f>IF(C40&lt;&gt;"",'G2 MT Reading Scoresheet'!$I42/30,"")</f>
        <v/>
      </c>
      <c r="G40" s="246">
        <f>IF(AND($C40&lt;&gt;"",$E40&lt;&gt;"Full Refresher"),'G2 MT Reading Scoresheet'!$Q42,"")</f>
        <v/>
      </c>
      <c r="H40" s="246">
        <f>IF(AND(C40&lt;&gt;"",E40&lt;&gt;"Full Refresher"),'G2 MT Reading Scoresheet'!$R42/6,"")</f>
        <v/>
      </c>
      <c r="I40" s="210">
        <f>IF(AND(D40&lt;&gt;"",F40&lt;&gt;"Full Refresher"),'G2 MT Reading Scoresheet'!$P42,"")</f>
        <v/>
      </c>
      <c r="J40" s="250">
        <f>'G2 MT Reading Scoresheet'!$U42</f>
        <v/>
      </c>
      <c r="K40" s="57">
        <f>'G2 FIL Reading Scoresheet'!$J42</f>
        <v/>
      </c>
      <c r="L40" s="248">
        <f>IF($C40&lt;&gt;"",'G2 FIL Reading Scoresheet'!$I42/30,"")</f>
        <v/>
      </c>
      <c r="M40" s="248">
        <f>IF(AND($C40&lt;&gt;"",$K40&lt;&gt;"Full Refresher"),'G2 FIL Reading Scoresheet'!$Q42,"")</f>
        <v/>
      </c>
      <c r="N40" s="248">
        <f>IF(AND($C40&lt;&gt;"",K40&lt;&gt;"Full Refresher"),'G2 FIL Reading Scoresheet'!$R42/6,"")</f>
        <v/>
      </c>
      <c r="O40" s="57">
        <f>IF(AND(C40&lt;&gt;"",K40&lt;&gt;"Full Refresher"),'G2 FIL Reading Scoresheet'!$P42,"")</f>
        <v/>
      </c>
      <c r="P40" s="251">
        <f>'G2 FIL Reading Scoresheet'!$U42</f>
        <v/>
      </c>
      <c r="Q40" s="48">
        <f>CONCATENATE(IF(ISBLANK('G2 MT Reading Scoresheet'!V42),"",CONCATENATE("MT:",TRIM('G2 MT Reading Scoresheet'!V42)))," ",IF(ISBLANK('G2 FIL Reading Scoresheet'!V42),"",CONCATENATE("FIL:",TRIM('G2 FIL Reading Scoresheet'!V42))))</f>
        <v/>
      </c>
    </row>
    <row r="41">
      <c r="A41" s="43" t="n">
        <v>33</v>
      </c>
      <c r="B41" s="49">
        <f>IF('G2 MT Reading Scoresheet'!B43&lt;&gt;"",'G2 MT Reading Scoresheet'!B43,"")</f>
        <v/>
      </c>
      <c r="C41" s="50">
        <f>IF('G2 MT Reading Scoresheet'!C43&lt;&gt;"",'G2 MT Reading Scoresheet'!C43,"")</f>
        <v/>
      </c>
      <c r="D41" s="51">
        <f>IF('G2 MT Reading Scoresheet'!D43&lt;&gt;"",'G2 MT Reading Scoresheet'!D43,"")</f>
        <v/>
      </c>
      <c r="E41" s="210">
        <f>'G2 MT Reading Scoresheet'!$J43</f>
        <v/>
      </c>
      <c r="F41" s="246">
        <f>IF(C41&lt;&gt;"",'G2 MT Reading Scoresheet'!$I43/30,"")</f>
        <v/>
      </c>
      <c r="G41" s="246">
        <f>IF(AND($C41&lt;&gt;"",$E41&lt;&gt;"Full Refresher"),'G2 MT Reading Scoresheet'!$Q43,"")</f>
        <v/>
      </c>
      <c r="H41" s="246">
        <f>IF(AND(C41&lt;&gt;"",E41&lt;&gt;"Full Refresher"),'G2 MT Reading Scoresheet'!$R43/6,"")</f>
        <v/>
      </c>
      <c r="I41" s="210">
        <f>IF(AND(D41&lt;&gt;"",F41&lt;&gt;"Full Refresher"),'G2 MT Reading Scoresheet'!$P43,"")</f>
        <v/>
      </c>
      <c r="J41" s="250">
        <f>'G2 MT Reading Scoresheet'!$U43</f>
        <v/>
      </c>
      <c r="K41" s="57">
        <f>'G2 FIL Reading Scoresheet'!$J43</f>
        <v/>
      </c>
      <c r="L41" s="248">
        <f>IF($C41&lt;&gt;"",'G2 FIL Reading Scoresheet'!$I43/30,"")</f>
        <v/>
      </c>
      <c r="M41" s="248">
        <f>IF(AND($C41&lt;&gt;"",$K41&lt;&gt;"Full Refresher"),'G2 FIL Reading Scoresheet'!$Q43,"")</f>
        <v/>
      </c>
      <c r="N41" s="248">
        <f>IF(AND($C41&lt;&gt;"",K41&lt;&gt;"Full Refresher"),'G2 FIL Reading Scoresheet'!$R43/6,"")</f>
        <v/>
      </c>
      <c r="O41" s="57">
        <f>IF(AND(C41&lt;&gt;"",K41&lt;&gt;"Full Refresher"),'G2 FIL Reading Scoresheet'!$P43,"")</f>
        <v/>
      </c>
      <c r="P41" s="251">
        <f>'G2 FIL Reading Scoresheet'!$U43</f>
        <v/>
      </c>
      <c r="Q41" s="52">
        <f>CONCATENATE(IF(ISBLANK('G2 MT Reading Scoresheet'!V43),"",CONCATENATE("MT:",TRIM('G2 MT Reading Scoresheet'!V43)))," ",IF(ISBLANK('G2 FIL Reading Scoresheet'!V43),"",CONCATENATE("FIL:",TRIM('G2 FIL Reading Scoresheet'!V43))))</f>
        <v/>
      </c>
    </row>
    <row r="42">
      <c r="A42" s="44" t="n">
        <v>34</v>
      </c>
      <c r="B42" s="45">
        <f>IF('G2 MT Reading Scoresheet'!B44&lt;&gt;"",'G2 MT Reading Scoresheet'!B44,"")</f>
        <v/>
      </c>
      <c r="C42" s="46">
        <f>IF('G2 MT Reading Scoresheet'!C44&lt;&gt;"",'G2 MT Reading Scoresheet'!C44,"")</f>
        <v/>
      </c>
      <c r="D42" s="47">
        <f>IF('G2 MT Reading Scoresheet'!D44&lt;&gt;"",'G2 MT Reading Scoresheet'!D44,"")</f>
        <v/>
      </c>
      <c r="E42" s="210">
        <f>'G2 MT Reading Scoresheet'!$J44</f>
        <v/>
      </c>
      <c r="F42" s="246">
        <f>IF(C42&lt;&gt;"",'G2 MT Reading Scoresheet'!$I44/30,"")</f>
        <v/>
      </c>
      <c r="G42" s="246">
        <f>IF(AND($C42&lt;&gt;"",$E42&lt;&gt;"Full Refresher"),'G2 MT Reading Scoresheet'!$Q44,"")</f>
        <v/>
      </c>
      <c r="H42" s="246">
        <f>IF(AND(C42&lt;&gt;"",E42&lt;&gt;"Full Refresher"),'G2 MT Reading Scoresheet'!$R44/6,"")</f>
        <v/>
      </c>
      <c r="I42" s="210">
        <f>IF(AND(D42&lt;&gt;"",F42&lt;&gt;"Full Refresher"),'G2 MT Reading Scoresheet'!$P44,"")</f>
        <v/>
      </c>
      <c r="J42" s="250">
        <f>'G2 MT Reading Scoresheet'!$U44</f>
        <v/>
      </c>
      <c r="K42" s="57">
        <f>'G2 FIL Reading Scoresheet'!$J44</f>
        <v/>
      </c>
      <c r="L42" s="248">
        <f>IF($C42&lt;&gt;"",'G2 FIL Reading Scoresheet'!$I44/30,"")</f>
        <v/>
      </c>
      <c r="M42" s="248">
        <f>IF(AND($C42&lt;&gt;"",$K42&lt;&gt;"Full Refresher"),'G2 FIL Reading Scoresheet'!$Q44,"")</f>
        <v/>
      </c>
      <c r="N42" s="248">
        <f>IF(AND($C42&lt;&gt;"",K42&lt;&gt;"Full Refresher"),'G2 FIL Reading Scoresheet'!$R44/6,"")</f>
        <v/>
      </c>
      <c r="O42" s="57">
        <f>IF(AND(C42&lt;&gt;"",K42&lt;&gt;"Full Refresher"),'G2 FIL Reading Scoresheet'!$P44,"")</f>
        <v/>
      </c>
      <c r="P42" s="251">
        <f>'G2 FIL Reading Scoresheet'!$U44</f>
        <v/>
      </c>
      <c r="Q42" s="48">
        <f>CONCATENATE(IF(ISBLANK('G2 MT Reading Scoresheet'!V44),"",CONCATENATE("MT:",TRIM('G2 MT Reading Scoresheet'!V44)))," ",IF(ISBLANK('G2 FIL Reading Scoresheet'!V44),"",CONCATENATE("FIL:",TRIM('G2 FIL Reading Scoresheet'!V44))))</f>
        <v/>
      </c>
    </row>
    <row r="43">
      <c r="A43" s="43" t="n">
        <v>35</v>
      </c>
      <c r="B43" s="49">
        <f>IF('G2 MT Reading Scoresheet'!B45&lt;&gt;"",'G2 MT Reading Scoresheet'!B45,"")</f>
        <v/>
      </c>
      <c r="C43" s="50">
        <f>IF('G2 MT Reading Scoresheet'!C45&lt;&gt;"",'G2 MT Reading Scoresheet'!C45,"")</f>
        <v/>
      </c>
      <c r="D43" s="51">
        <f>IF('G2 MT Reading Scoresheet'!D45&lt;&gt;"",'G2 MT Reading Scoresheet'!D45,"")</f>
        <v/>
      </c>
      <c r="E43" s="210">
        <f>'G2 MT Reading Scoresheet'!$J45</f>
        <v/>
      </c>
      <c r="F43" s="246">
        <f>IF(C43&lt;&gt;"",'G2 MT Reading Scoresheet'!$I45/30,"")</f>
        <v/>
      </c>
      <c r="G43" s="246">
        <f>IF(AND($C43&lt;&gt;"",$E43&lt;&gt;"Full Refresher"),'G2 MT Reading Scoresheet'!$Q45,"")</f>
        <v/>
      </c>
      <c r="H43" s="246">
        <f>IF(AND(C43&lt;&gt;"",E43&lt;&gt;"Full Refresher"),'G2 MT Reading Scoresheet'!$R45/6,"")</f>
        <v/>
      </c>
      <c r="I43" s="210">
        <f>IF(AND(D43&lt;&gt;"",F43&lt;&gt;"Full Refresher"),'G2 MT Reading Scoresheet'!$P45,"")</f>
        <v/>
      </c>
      <c r="J43" s="250">
        <f>'G2 MT Reading Scoresheet'!$U45</f>
        <v/>
      </c>
      <c r="K43" s="57">
        <f>'G2 FIL Reading Scoresheet'!$J45</f>
        <v/>
      </c>
      <c r="L43" s="248">
        <f>IF($C43&lt;&gt;"",'G2 FIL Reading Scoresheet'!$I45/30,"")</f>
        <v/>
      </c>
      <c r="M43" s="248">
        <f>IF(AND($C43&lt;&gt;"",$K43&lt;&gt;"Full Refresher"),'G2 FIL Reading Scoresheet'!$Q45,"")</f>
        <v/>
      </c>
      <c r="N43" s="248">
        <f>IF(AND($C43&lt;&gt;"",K43&lt;&gt;"Full Refresher"),'G2 FIL Reading Scoresheet'!$R45/6,"")</f>
        <v/>
      </c>
      <c r="O43" s="57">
        <f>IF(AND(C43&lt;&gt;"",K43&lt;&gt;"Full Refresher"),'G2 FIL Reading Scoresheet'!$P45,"")</f>
        <v/>
      </c>
      <c r="P43" s="251">
        <f>'G2 FIL Reading Scoresheet'!$U45</f>
        <v/>
      </c>
      <c r="Q43" s="52">
        <f>CONCATENATE(IF(ISBLANK('G2 MT Reading Scoresheet'!V45),"",CONCATENATE("MT:",TRIM('G2 MT Reading Scoresheet'!V45)))," ",IF(ISBLANK('G2 FIL Reading Scoresheet'!V45),"",CONCATENATE("FIL:",TRIM('G2 FIL Reading Scoresheet'!V45))))</f>
        <v/>
      </c>
    </row>
    <row r="44">
      <c r="A44" s="44" t="n">
        <v>36</v>
      </c>
      <c r="B44" s="45">
        <f>IF('G2 MT Reading Scoresheet'!B46&lt;&gt;"",'G2 MT Reading Scoresheet'!B46,"")</f>
        <v/>
      </c>
      <c r="C44" s="46">
        <f>IF('G2 MT Reading Scoresheet'!C46&lt;&gt;"",'G2 MT Reading Scoresheet'!C46,"")</f>
        <v/>
      </c>
      <c r="D44" s="47">
        <f>IF('G2 MT Reading Scoresheet'!D46&lt;&gt;"",'G2 MT Reading Scoresheet'!D46,"")</f>
        <v/>
      </c>
      <c r="E44" s="210">
        <f>'G2 MT Reading Scoresheet'!$J46</f>
        <v/>
      </c>
      <c r="F44" s="246">
        <f>IF(C44&lt;&gt;"",'G2 MT Reading Scoresheet'!$I46/30,"")</f>
        <v/>
      </c>
      <c r="G44" s="246">
        <f>IF(AND($C44&lt;&gt;"",$E44&lt;&gt;"Full Refresher"),'G2 MT Reading Scoresheet'!$Q46,"")</f>
        <v/>
      </c>
      <c r="H44" s="246">
        <f>IF(AND(C44&lt;&gt;"",E44&lt;&gt;"Full Refresher"),'G2 MT Reading Scoresheet'!$R46/6,"")</f>
        <v/>
      </c>
      <c r="I44" s="210">
        <f>IF(AND(D44&lt;&gt;"",F44&lt;&gt;"Full Refresher"),'G2 MT Reading Scoresheet'!$P46,"")</f>
        <v/>
      </c>
      <c r="J44" s="250">
        <f>'G2 MT Reading Scoresheet'!$U46</f>
        <v/>
      </c>
      <c r="K44" s="57">
        <f>'G2 FIL Reading Scoresheet'!$J46</f>
        <v/>
      </c>
      <c r="L44" s="248">
        <f>IF($C44&lt;&gt;"",'G2 FIL Reading Scoresheet'!$I46/30,"")</f>
        <v/>
      </c>
      <c r="M44" s="248">
        <f>IF(AND($C44&lt;&gt;"",$K44&lt;&gt;"Full Refresher"),'G2 FIL Reading Scoresheet'!$Q46,"")</f>
        <v/>
      </c>
      <c r="N44" s="248">
        <f>IF(AND($C44&lt;&gt;"",K44&lt;&gt;"Full Refresher"),'G2 FIL Reading Scoresheet'!$R46/6,"")</f>
        <v/>
      </c>
      <c r="O44" s="57">
        <f>IF(AND(C44&lt;&gt;"",K44&lt;&gt;"Full Refresher"),'G2 FIL Reading Scoresheet'!$P46,"")</f>
        <v/>
      </c>
      <c r="P44" s="251">
        <f>'G2 FIL Reading Scoresheet'!$U46</f>
        <v/>
      </c>
      <c r="Q44" s="48">
        <f>CONCATENATE(IF(ISBLANK('G2 MT Reading Scoresheet'!V46),"",CONCATENATE("MT:",TRIM('G2 MT Reading Scoresheet'!V46)))," ",IF(ISBLANK('G2 FIL Reading Scoresheet'!V46),"",CONCATENATE("FIL:",TRIM('G2 FIL Reading Scoresheet'!V46))))</f>
        <v/>
      </c>
    </row>
    <row r="45">
      <c r="A45" s="43" t="n">
        <v>37</v>
      </c>
      <c r="B45" s="49">
        <f>IF('G2 MT Reading Scoresheet'!B47&lt;&gt;"",'G2 MT Reading Scoresheet'!B47,"")</f>
        <v/>
      </c>
      <c r="C45" s="50">
        <f>IF('G2 MT Reading Scoresheet'!C47&lt;&gt;"",'G2 MT Reading Scoresheet'!C47,"")</f>
        <v/>
      </c>
      <c r="D45" s="51">
        <f>IF('G2 MT Reading Scoresheet'!D47&lt;&gt;"",'G2 MT Reading Scoresheet'!D47,"")</f>
        <v/>
      </c>
      <c r="E45" s="210">
        <f>'G2 MT Reading Scoresheet'!$J47</f>
        <v/>
      </c>
      <c r="F45" s="246">
        <f>IF(C45&lt;&gt;"",'G2 MT Reading Scoresheet'!$I47/30,"")</f>
        <v/>
      </c>
      <c r="G45" s="246">
        <f>IF(AND($C45&lt;&gt;"",$E45&lt;&gt;"Full Refresher"),'G2 MT Reading Scoresheet'!$Q47,"")</f>
        <v/>
      </c>
      <c r="H45" s="246">
        <f>IF(AND(C45&lt;&gt;"",E45&lt;&gt;"Full Refresher"),'G2 MT Reading Scoresheet'!$R47/6,"")</f>
        <v/>
      </c>
      <c r="I45" s="210">
        <f>IF(AND(D45&lt;&gt;"",F45&lt;&gt;"Full Refresher"),'G2 MT Reading Scoresheet'!$P47,"")</f>
        <v/>
      </c>
      <c r="J45" s="250">
        <f>'G2 MT Reading Scoresheet'!$U47</f>
        <v/>
      </c>
      <c r="K45" s="57">
        <f>'G2 FIL Reading Scoresheet'!$J47</f>
        <v/>
      </c>
      <c r="L45" s="248">
        <f>IF($C45&lt;&gt;"",'G2 FIL Reading Scoresheet'!$I47/30,"")</f>
        <v/>
      </c>
      <c r="M45" s="248">
        <f>IF(AND($C45&lt;&gt;"",$K45&lt;&gt;"Full Refresher"),'G2 FIL Reading Scoresheet'!$Q47,"")</f>
        <v/>
      </c>
      <c r="N45" s="248">
        <f>IF(AND($C45&lt;&gt;"",K45&lt;&gt;"Full Refresher"),'G2 FIL Reading Scoresheet'!$R47/6,"")</f>
        <v/>
      </c>
      <c r="O45" s="57">
        <f>IF(AND(C45&lt;&gt;"",K45&lt;&gt;"Full Refresher"),'G2 FIL Reading Scoresheet'!$P47,"")</f>
        <v/>
      </c>
      <c r="P45" s="251">
        <f>'G2 FIL Reading Scoresheet'!$U47</f>
        <v/>
      </c>
      <c r="Q45" s="52">
        <f>CONCATENATE(IF(ISBLANK('G2 MT Reading Scoresheet'!V47),"",CONCATENATE("MT:",TRIM('G2 MT Reading Scoresheet'!V47)))," ",IF(ISBLANK('G2 FIL Reading Scoresheet'!V47),"",CONCATENATE("FIL:",TRIM('G2 FIL Reading Scoresheet'!V47))))</f>
        <v/>
      </c>
    </row>
    <row r="46">
      <c r="A46" s="44" t="n">
        <v>38</v>
      </c>
      <c r="B46" s="45">
        <f>IF('G2 MT Reading Scoresheet'!B48&lt;&gt;"",'G2 MT Reading Scoresheet'!B48,"")</f>
        <v/>
      </c>
      <c r="C46" s="46">
        <f>IF('G2 MT Reading Scoresheet'!C48&lt;&gt;"",'G2 MT Reading Scoresheet'!C48,"")</f>
        <v/>
      </c>
      <c r="D46" s="47">
        <f>IF('G2 MT Reading Scoresheet'!D48&lt;&gt;"",'G2 MT Reading Scoresheet'!D48,"")</f>
        <v/>
      </c>
      <c r="E46" s="210">
        <f>'G2 MT Reading Scoresheet'!$J48</f>
        <v/>
      </c>
      <c r="F46" s="246">
        <f>IF(C46&lt;&gt;"",'G2 MT Reading Scoresheet'!$I48/30,"")</f>
        <v/>
      </c>
      <c r="G46" s="246">
        <f>IF(AND($C46&lt;&gt;"",$E46&lt;&gt;"Full Refresher"),'G2 MT Reading Scoresheet'!$Q48,"")</f>
        <v/>
      </c>
      <c r="H46" s="246">
        <f>IF(AND(C46&lt;&gt;"",E46&lt;&gt;"Full Refresher"),'G2 MT Reading Scoresheet'!$R48/6,"")</f>
        <v/>
      </c>
      <c r="I46" s="210">
        <f>IF(AND(D46&lt;&gt;"",F46&lt;&gt;"Full Refresher"),'G2 MT Reading Scoresheet'!$P48,"")</f>
        <v/>
      </c>
      <c r="J46" s="250">
        <f>'G2 MT Reading Scoresheet'!$U48</f>
        <v/>
      </c>
      <c r="K46" s="57">
        <f>'G2 FIL Reading Scoresheet'!$J48</f>
        <v/>
      </c>
      <c r="L46" s="248">
        <f>IF($C46&lt;&gt;"",'G2 FIL Reading Scoresheet'!$I48/30,"")</f>
        <v/>
      </c>
      <c r="M46" s="248">
        <f>IF(AND($C46&lt;&gt;"",$K46&lt;&gt;"Full Refresher"),'G2 FIL Reading Scoresheet'!$Q48,"")</f>
        <v/>
      </c>
      <c r="N46" s="248">
        <f>IF(AND($C46&lt;&gt;"",K46&lt;&gt;"Full Refresher"),'G2 FIL Reading Scoresheet'!$R48/6,"")</f>
        <v/>
      </c>
      <c r="O46" s="57">
        <f>IF(AND(C46&lt;&gt;"",K46&lt;&gt;"Full Refresher"),'G2 FIL Reading Scoresheet'!$P48,"")</f>
        <v/>
      </c>
      <c r="P46" s="251">
        <f>'G2 FIL Reading Scoresheet'!$U48</f>
        <v/>
      </c>
      <c r="Q46" s="48">
        <f>CONCATENATE(IF(ISBLANK('G2 MT Reading Scoresheet'!V48),"",CONCATENATE("MT:",TRIM('G2 MT Reading Scoresheet'!V48)))," ",IF(ISBLANK('G2 FIL Reading Scoresheet'!V48),"",CONCATENATE("FIL:",TRIM('G2 FIL Reading Scoresheet'!V48))))</f>
        <v/>
      </c>
    </row>
    <row r="47">
      <c r="A47" s="43" t="n">
        <v>39</v>
      </c>
      <c r="B47" s="49">
        <f>IF('G2 MT Reading Scoresheet'!B49&lt;&gt;"",'G2 MT Reading Scoresheet'!B49,"")</f>
        <v/>
      </c>
      <c r="C47" s="50">
        <f>IF('G2 MT Reading Scoresheet'!C49&lt;&gt;"",'G2 MT Reading Scoresheet'!C49,"")</f>
        <v/>
      </c>
      <c r="D47" s="51">
        <f>IF('G2 MT Reading Scoresheet'!D49&lt;&gt;"",'G2 MT Reading Scoresheet'!D49,"")</f>
        <v/>
      </c>
      <c r="E47" s="210">
        <f>'G2 MT Reading Scoresheet'!$J49</f>
        <v/>
      </c>
      <c r="F47" s="246">
        <f>IF(C47&lt;&gt;"",'G2 MT Reading Scoresheet'!$I49/30,"")</f>
        <v/>
      </c>
      <c r="G47" s="246">
        <f>IF(AND($C47&lt;&gt;"",$E47&lt;&gt;"Full Refresher"),'G2 MT Reading Scoresheet'!$Q49,"")</f>
        <v/>
      </c>
      <c r="H47" s="246">
        <f>IF(AND(C47&lt;&gt;"",E47&lt;&gt;"Full Refresher"),'G2 MT Reading Scoresheet'!$R49/6,"")</f>
        <v/>
      </c>
      <c r="I47" s="210">
        <f>IF(AND(D47&lt;&gt;"",F47&lt;&gt;"Full Refresher"),'G2 MT Reading Scoresheet'!$P49,"")</f>
        <v/>
      </c>
      <c r="J47" s="250">
        <f>'G2 MT Reading Scoresheet'!$U49</f>
        <v/>
      </c>
      <c r="K47" s="57">
        <f>'G2 FIL Reading Scoresheet'!$J49</f>
        <v/>
      </c>
      <c r="L47" s="248">
        <f>IF($C47&lt;&gt;"",'G2 FIL Reading Scoresheet'!$I49/30,"")</f>
        <v/>
      </c>
      <c r="M47" s="248">
        <f>IF(AND($C47&lt;&gt;"",$K47&lt;&gt;"Full Refresher"),'G2 FIL Reading Scoresheet'!$Q49,"")</f>
        <v/>
      </c>
      <c r="N47" s="248">
        <f>IF(AND($C47&lt;&gt;"",K47&lt;&gt;"Full Refresher"),'G2 FIL Reading Scoresheet'!$R49/6,"")</f>
        <v/>
      </c>
      <c r="O47" s="57">
        <f>IF(AND(C47&lt;&gt;"",K47&lt;&gt;"Full Refresher"),'G2 FIL Reading Scoresheet'!$P49,"")</f>
        <v/>
      </c>
      <c r="P47" s="251">
        <f>'G2 FIL Reading Scoresheet'!$U49</f>
        <v/>
      </c>
      <c r="Q47" s="52">
        <f>CONCATENATE(IF(ISBLANK('G2 MT Reading Scoresheet'!V49),"",CONCATENATE("MT:",TRIM('G2 MT Reading Scoresheet'!V49)))," ",IF(ISBLANK('G2 FIL Reading Scoresheet'!V49),"",CONCATENATE("FIL:",TRIM('G2 FIL Reading Scoresheet'!V49))))</f>
        <v/>
      </c>
    </row>
    <row r="48">
      <c r="A48" s="44" t="n">
        <v>40</v>
      </c>
      <c r="B48" s="45">
        <f>IF('G2 MT Reading Scoresheet'!B50&lt;&gt;"",'G2 MT Reading Scoresheet'!B50,"")</f>
        <v/>
      </c>
      <c r="C48" s="46">
        <f>IF('G2 MT Reading Scoresheet'!C50&lt;&gt;"",'G2 MT Reading Scoresheet'!C50,"")</f>
        <v/>
      </c>
      <c r="D48" s="47">
        <f>IF('G2 MT Reading Scoresheet'!D50&lt;&gt;"",'G2 MT Reading Scoresheet'!D50,"")</f>
        <v/>
      </c>
      <c r="E48" s="210">
        <f>'G2 MT Reading Scoresheet'!$J50</f>
        <v/>
      </c>
      <c r="F48" s="246">
        <f>IF(C48&lt;&gt;"",'G2 MT Reading Scoresheet'!$I50/30,"")</f>
        <v/>
      </c>
      <c r="G48" s="246">
        <f>IF(AND($C48&lt;&gt;"",$E48&lt;&gt;"Full Refresher"),'G2 MT Reading Scoresheet'!$Q50,"")</f>
        <v/>
      </c>
      <c r="H48" s="246">
        <f>IF(AND(C48&lt;&gt;"",E48&lt;&gt;"Full Refresher"),'G2 MT Reading Scoresheet'!$R50/6,"")</f>
        <v/>
      </c>
      <c r="I48" s="210">
        <f>IF(AND(D48&lt;&gt;"",F48&lt;&gt;"Full Refresher"),'G2 MT Reading Scoresheet'!$P50,"")</f>
        <v/>
      </c>
      <c r="J48" s="250">
        <f>'G2 MT Reading Scoresheet'!$U50</f>
        <v/>
      </c>
      <c r="K48" s="57">
        <f>'G2 FIL Reading Scoresheet'!$J50</f>
        <v/>
      </c>
      <c r="L48" s="248">
        <f>IF($C48&lt;&gt;"",'G2 FIL Reading Scoresheet'!$I50/30,"")</f>
        <v/>
      </c>
      <c r="M48" s="248">
        <f>IF(AND($C48&lt;&gt;"",$K48&lt;&gt;"Full Refresher"),'G2 FIL Reading Scoresheet'!$Q50,"")</f>
        <v/>
      </c>
      <c r="N48" s="248">
        <f>IF(AND($C48&lt;&gt;"",K48&lt;&gt;"Full Refresher"),'G2 FIL Reading Scoresheet'!$R50/6,"")</f>
        <v/>
      </c>
      <c r="O48" s="57">
        <f>IF(AND(C48&lt;&gt;"",K48&lt;&gt;"Full Refresher"),'G2 FIL Reading Scoresheet'!$P50,"")</f>
        <v/>
      </c>
      <c r="P48" s="251">
        <f>'G2 FIL Reading Scoresheet'!$U50</f>
        <v/>
      </c>
      <c r="Q48" s="48">
        <f>CONCATENATE(IF(ISBLANK('G2 MT Reading Scoresheet'!V50),"",CONCATENATE("MT:",TRIM('G2 MT Reading Scoresheet'!V50)))," ",IF(ISBLANK('G2 FIL Reading Scoresheet'!V50),"",CONCATENATE("FIL:",TRIM('G2 FIL Reading Scoresheet'!V50))))</f>
        <v/>
      </c>
    </row>
    <row r="49">
      <c r="A49" s="43" t="n">
        <v>41</v>
      </c>
      <c r="B49" s="49">
        <f>IF('G2 MT Reading Scoresheet'!B51&lt;&gt;"",'G2 MT Reading Scoresheet'!B51,"")</f>
        <v/>
      </c>
      <c r="C49" s="50">
        <f>IF('G2 MT Reading Scoresheet'!C51&lt;&gt;"",'G2 MT Reading Scoresheet'!C51,"")</f>
        <v/>
      </c>
      <c r="D49" s="51">
        <f>IF('G2 MT Reading Scoresheet'!D51&lt;&gt;"",'G2 MT Reading Scoresheet'!D51,"")</f>
        <v/>
      </c>
      <c r="E49" s="210">
        <f>'G2 MT Reading Scoresheet'!$J51</f>
        <v/>
      </c>
      <c r="F49" s="246">
        <f>IF(C49&lt;&gt;"",'G2 MT Reading Scoresheet'!$I51/30,"")</f>
        <v/>
      </c>
      <c r="G49" s="246">
        <f>IF(AND($C49&lt;&gt;"",$E49&lt;&gt;"Full Refresher"),'G2 MT Reading Scoresheet'!$Q51,"")</f>
        <v/>
      </c>
      <c r="H49" s="246">
        <f>IF(AND(C49&lt;&gt;"",E49&lt;&gt;"Full Refresher"),'G2 MT Reading Scoresheet'!$R51/6,"")</f>
        <v/>
      </c>
      <c r="I49" s="210">
        <f>IF(AND(D49&lt;&gt;"",F49&lt;&gt;"Full Refresher"),'G2 MT Reading Scoresheet'!$P51,"")</f>
        <v/>
      </c>
      <c r="J49" s="250">
        <f>'G2 MT Reading Scoresheet'!$U51</f>
        <v/>
      </c>
      <c r="K49" s="57">
        <f>'G2 FIL Reading Scoresheet'!$J51</f>
        <v/>
      </c>
      <c r="L49" s="248">
        <f>IF($C49&lt;&gt;"",'G2 FIL Reading Scoresheet'!$I51/30,"")</f>
        <v/>
      </c>
      <c r="M49" s="248">
        <f>IF(AND($C49&lt;&gt;"",$K49&lt;&gt;"Full Refresher"),'G2 FIL Reading Scoresheet'!$Q51,"")</f>
        <v/>
      </c>
      <c r="N49" s="248">
        <f>IF(AND($C49&lt;&gt;"",K49&lt;&gt;"Full Refresher"),'G2 FIL Reading Scoresheet'!$R51/6,"")</f>
        <v/>
      </c>
      <c r="O49" s="57">
        <f>IF(AND(C49&lt;&gt;"",K49&lt;&gt;"Full Refresher"),'G2 FIL Reading Scoresheet'!$P51,"")</f>
        <v/>
      </c>
      <c r="P49" s="251">
        <f>'G2 FIL Reading Scoresheet'!$U51</f>
        <v/>
      </c>
      <c r="Q49" s="52">
        <f>CONCATENATE(IF(ISBLANK('G2 MT Reading Scoresheet'!V51),"",CONCATENATE("MT:",TRIM('G2 MT Reading Scoresheet'!V51)))," ",IF(ISBLANK('G2 FIL Reading Scoresheet'!V51),"",CONCATENATE("FIL:",TRIM('G2 FIL Reading Scoresheet'!V51))))</f>
        <v/>
      </c>
    </row>
    <row r="50">
      <c r="A50" s="44" t="n">
        <v>42</v>
      </c>
      <c r="B50" s="45">
        <f>IF('G2 MT Reading Scoresheet'!B52&lt;&gt;"",'G2 MT Reading Scoresheet'!B52,"")</f>
        <v/>
      </c>
      <c r="C50" s="46">
        <f>IF('G2 MT Reading Scoresheet'!C52&lt;&gt;"",'G2 MT Reading Scoresheet'!C52,"")</f>
        <v/>
      </c>
      <c r="D50" s="47">
        <f>IF('G2 MT Reading Scoresheet'!D52&lt;&gt;"",'G2 MT Reading Scoresheet'!D52,"")</f>
        <v/>
      </c>
      <c r="E50" s="210">
        <f>'G2 MT Reading Scoresheet'!$J52</f>
        <v/>
      </c>
      <c r="F50" s="246">
        <f>IF(C50&lt;&gt;"",'G2 MT Reading Scoresheet'!$I52/30,"")</f>
        <v/>
      </c>
      <c r="G50" s="246">
        <f>IF(AND($C50&lt;&gt;"",$E50&lt;&gt;"Full Refresher"),'G2 MT Reading Scoresheet'!$Q52,"")</f>
        <v/>
      </c>
      <c r="H50" s="246">
        <f>IF(AND(C50&lt;&gt;"",E50&lt;&gt;"Full Refresher"),'G2 MT Reading Scoresheet'!$R52/6,"")</f>
        <v/>
      </c>
      <c r="I50" s="210">
        <f>IF(AND(D50&lt;&gt;"",F50&lt;&gt;"Full Refresher"),'G2 MT Reading Scoresheet'!$P52,"")</f>
        <v/>
      </c>
      <c r="J50" s="250">
        <f>'G2 MT Reading Scoresheet'!$U52</f>
        <v/>
      </c>
      <c r="K50" s="57">
        <f>'G2 FIL Reading Scoresheet'!$J52</f>
        <v/>
      </c>
      <c r="L50" s="248">
        <f>IF($C50&lt;&gt;"",'G2 FIL Reading Scoresheet'!$I52/30,"")</f>
        <v/>
      </c>
      <c r="M50" s="248">
        <f>IF(AND($C50&lt;&gt;"",$K50&lt;&gt;"Full Refresher"),'G2 FIL Reading Scoresheet'!$Q52,"")</f>
        <v/>
      </c>
      <c r="N50" s="248">
        <f>IF(AND($C50&lt;&gt;"",K50&lt;&gt;"Full Refresher"),'G2 FIL Reading Scoresheet'!$R52/6,"")</f>
        <v/>
      </c>
      <c r="O50" s="57">
        <f>IF(AND(C50&lt;&gt;"",K50&lt;&gt;"Full Refresher"),'G2 FIL Reading Scoresheet'!$P52,"")</f>
        <v/>
      </c>
      <c r="P50" s="251">
        <f>'G2 FIL Reading Scoresheet'!$U52</f>
        <v/>
      </c>
      <c r="Q50" s="48">
        <f>CONCATENATE(IF(ISBLANK('G2 MT Reading Scoresheet'!V52),"",CONCATENATE("MT:",TRIM('G2 MT Reading Scoresheet'!V52)))," ",IF(ISBLANK('G2 FIL Reading Scoresheet'!V52),"",CONCATENATE("FIL:",TRIM('G2 FIL Reading Scoresheet'!V52))))</f>
        <v/>
      </c>
    </row>
    <row r="51">
      <c r="A51" s="43" t="n">
        <v>43</v>
      </c>
      <c r="B51" s="49">
        <f>IF('G2 MT Reading Scoresheet'!B53&lt;&gt;"",'G2 MT Reading Scoresheet'!B53,"")</f>
        <v/>
      </c>
      <c r="C51" s="50">
        <f>IF('G2 MT Reading Scoresheet'!C53&lt;&gt;"",'G2 MT Reading Scoresheet'!C53,"")</f>
        <v/>
      </c>
      <c r="D51" s="51">
        <f>IF('G2 MT Reading Scoresheet'!D53&lt;&gt;"",'G2 MT Reading Scoresheet'!D53,"")</f>
        <v/>
      </c>
      <c r="E51" s="210">
        <f>'G2 MT Reading Scoresheet'!$J53</f>
        <v/>
      </c>
      <c r="F51" s="246">
        <f>IF(C51&lt;&gt;"",'G2 MT Reading Scoresheet'!$I53/30,"")</f>
        <v/>
      </c>
      <c r="G51" s="246">
        <f>IF(AND($C51&lt;&gt;"",$E51&lt;&gt;"Full Refresher"),'G2 MT Reading Scoresheet'!$Q53,"")</f>
        <v/>
      </c>
      <c r="H51" s="246">
        <f>IF(AND(C51&lt;&gt;"",E51&lt;&gt;"Full Refresher"),'G2 MT Reading Scoresheet'!$R53/6,"")</f>
        <v/>
      </c>
      <c r="I51" s="210">
        <f>IF(AND(D51&lt;&gt;"",F51&lt;&gt;"Full Refresher"),'G2 MT Reading Scoresheet'!$P53,"")</f>
        <v/>
      </c>
      <c r="J51" s="250">
        <f>'G2 MT Reading Scoresheet'!$U53</f>
        <v/>
      </c>
      <c r="K51" s="57">
        <f>'G2 FIL Reading Scoresheet'!$J53</f>
        <v/>
      </c>
      <c r="L51" s="248">
        <f>IF($C51&lt;&gt;"",'G2 FIL Reading Scoresheet'!$I53/30,"")</f>
        <v/>
      </c>
      <c r="M51" s="248">
        <f>IF(AND($C51&lt;&gt;"",$K51&lt;&gt;"Full Refresher"),'G2 FIL Reading Scoresheet'!$Q53,"")</f>
        <v/>
      </c>
      <c r="N51" s="248">
        <f>IF(AND($C51&lt;&gt;"",K51&lt;&gt;"Full Refresher"),'G2 FIL Reading Scoresheet'!$R53/6,"")</f>
        <v/>
      </c>
      <c r="O51" s="57">
        <f>IF(AND(C51&lt;&gt;"",K51&lt;&gt;"Full Refresher"),'G2 FIL Reading Scoresheet'!$P53,"")</f>
        <v/>
      </c>
      <c r="P51" s="251">
        <f>'G2 FIL Reading Scoresheet'!$U53</f>
        <v/>
      </c>
      <c r="Q51" s="52">
        <f>CONCATENATE(IF(ISBLANK('G2 MT Reading Scoresheet'!V53),"",CONCATENATE("MT:",TRIM('G2 MT Reading Scoresheet'!V53)))," ",IF(ISBLANK('G2 FIL Reading Scoresheet'!V53),"",CONCATENATE("FIL:",TRIM('G2 FIL Reading Scoresheet'!V53))))</f>
        <v/>
      </c>
    </row>
    <row r="52">
      <c r="A52" s="44" t="n">
        <v>44</v>
      </c>
      <c r="B52" s="45">
        <f>IF('G2 MT Reading Scoresheet'!B54&lt;&gt;"",'G2 MT Reading Scoresheet'!B54,"")</f>
        <v/>
      </c>
      <c r="C52" s="46">
        <f>IF('G2 MT Reading Scoresheet'!C54&lt;&gt;"",'G2 MT Reading Scoresheet'!C54,"")</f>
        <v/>
      </c>
      <c r="D52" s="47">
        <f>IF('G2 MT Reading Scoresheet'!D54&lt;&gt;"",'G2 MT Reading Scoresheet'!D54,"")</f>
        <v/>
      </c>
      <c r="E52" s="210">
        <f>'G2 MT Reading Scoresheet'!$J54</f>
        <v/>
      </c>
      <c r="F52" s="246">
        <f>IF(C52&lt;&gt;"",'G2 MT Reading Scoresheet'!$I54/30,"")</f>
        <v/>
      </c>
      <c r="G52" s="246">
        <f>IF(AND($C52&lt;&gt;"",$E52&lt;&gt;"Full Refresher"),'G2 MT Reading Scoresheet'!$Q54,"")</f>
        <v/>
      </c>
      <c r="H52" s="246">
        <f>IF(AND(C52&lt;&gt;"",E52&lt;&gt;"Full Refresher"),'G2 MT Reading Scoresheet'!$R54/6,"")</f>
        <v/>
      </c>
      <c r="I52" s="210">
        <f>IF(AND(D52&lt;&gt;"",F52&lt;&gt;"Full Refresher"),'G2 MT Reading Scoresheet'!$P54,"")</f>
        <v/>
      </c>
      <c r="J52" s="250">
        <f>'G2 MT Reading Scoresheet'!$U54</f>
        <v/>
      </c>
      <c r="K52" s="57">
        <f>'G2 FIL Reading Scoresheet'!$J54</f>
        <v/>
      </c>
      <c r="L52" s="248">
        <f>IF($C52&lt;&gt;"",'G2 FIL Reading Scoresheet'!$I54/30,"")</f>
        <v/>
      </c>
      <c r="M52" s="248">
        <f>IF(AND($C52&lt;&gt;"",$K52&lt;&gt;"Full Refresher"),'G2 FIL Reading Scoresheet'!$Q54,"")</f>
        <v/>
      </c>
      <c r="N52" s="248">
        <f>IF(AND($C52&lt;&gt;"",K52&lt;&gt;"Full Refresher"),'G2 FIL Reading Scoresheet'!$R54/6,"")</f>
        <v/>
      </c>
      <c r="O52" s="57">
        <f>IF(AND(C52&lt;&gt;"",K52&lt;&gt;"Full Refresher"),'G2 FIL Reading Scoresheet'!$P54,"")</f>
        <v/>
      </c>
      <c r="P52" s="251">
        <f>'G2 FIL Reading Scoresheet'!$U54</f>
        <v/>
      </c>
      <c r="Q52" s="48">
        <f>CONCATENATE(IF(ISBLANK('G2 MT Reading Scoresheet'!V54),"",CONCATENATE("MT:",TRIM('G2 MT Reading Scoresheet'!V54)))," ",IF(ISBLANK('G2 FIL Reading Scoresheet'!V54),"",CONCATENATE("FIL:",TRIM('G2 FIL Reading Scoresheet'!V54))))</f>
        <v/>
      </c>
    </row>
    <row r="53">
      <c r="A53" s="43" t="n">
        <v>45</v>
      </c>
      <c r="B53" s="49">
        <f>IF('G2 MT Reading Scoresheet'!B55&lt;&gt;"",'G2 MT Reading Scoresheet'!B55,"")</f>
        <v/>
      </c>
      <c r="C53" s="50">
        <f>IF('G2 MT Reading Scoresheet'!C55&lt;&gt;"",'G2 MT Reading Scoresheet'!C55,"")</f>
        <v/>
      </c>
      <c r="D53" s="51">
        <f>IF('G2 MT Reading Scoresheet'!D55&lt;&gt;"",'G2 MT Reading Scoresheet'!D55,"")</f>
        <v/>
      </c>
      <c r="E53" s="210">
        <f>'G2 MT Reading Scoresheet'!$J55</f>
        <v/>
      </c>
      <c r="F53" s="246">
        <f>IF(C53&lt;&gt;"",'G2 MT Reading Scoresheet'!$I55/30,"")</f>
        <v/>
      </c>
      <c r="G53" s="246">
        <f>IF(AND($C53&lt;&gt;"",$E53&lt;&gt;"Full Refresher"),'G2 MT Reading Scoresheet'!$Q55,"")</f>
        <v/>
      </c>
      <c r="H53" s="246">
        <f>IF(AND(C53&lt;&gt;"",E53&lt;&gt;"Full Refresher"),'G2 MT Reading Scoresheet'!$R55/6,"")</f>
        <v/>
      </c>
      <c r="I53" s="210">
        <f>IF(AND(D53&lt;&gt;"",F53&lt;&gt;"Full Refresher"),'G2 MT Reading Scoresheet'!$P55,"")</f>
        <v/>
      </c>
      <c r="J53" s="250">
        <f>'G2 MT Reading Scoresheet'!$U55</f>
        <v/>
      </c>
      <c r="K53" s="57">
        <f>'G2 FIL Reading Scoresheet'!$J55</f>
        <v/>
      </c>
      <c r="L53" s="248">
        <f>IF($C53&lt;&gt;"",'G2 FIL Reading Scoresheet'!$I55/30,"")</f>
        <v/>
      </c>
      <c r="M53" s="248">
        <f>IF(AND($C53&lt;&gt;"",$K53&lt;&gt;"Full Refresher"),'G2 FIL Reading Scoresheet'!$Q55,"")</f>
        <v/>
      </c>
      <c r="N53" s="248">
        <f>IF(AND($C53&lt;&gt;"",K53&lt;&gt;"Full Refresher"),'G2 FIL Reading Scoresheet'!$R55/6,"")</f>
        <v/>
      </c>
      <c r="O53" s="57">
        <f>IF(AND(C53&lt;&gt;"",K53&lt;&gt;"Full Refresher"),'G2 FIL Reading Scoresheet'!$P55,"")</f>
        <v/>
      </c>
      <c r="P53" s="251">
        <f>'G2 FIL Reading Scoresheet'!$U55</f>
        <v/>
      </c>
      <c r="Q53" s="52">
        <f>CONCATENATE(IF(ISBLANK('G2 MT Reading Scoresheet'!V55),"",CONCATENATE("MT:",TRIM('G2 MT Reading Scoresheet'!V55)))," ",IF(ISBLANK('G2 FIL Reading Scoresheet'!V55),"",CONCATENATE("FIL:",TRIM('G2 FIL Reading Scoresheet'!V55))))</f>
        <v/>
      </c>
    </row>
    <row r="54">
      <c r="A54" s="44" t="n">
        <v>46</v>
      </c>
      <c r="B54" s="45">
        <f>IF('G2 MT Reading Scoresheet'!B56&lt;&gt;"",'G2 MT Reading Scoresheet'!B56,"")</f>
        <v/>
      </c>
      <c r="C54" s="46">
        <f>IF('G2 MT Reading Scoresheet'!C56&lt;&gt;"",'G2 MT Reading Scoresheet'!C56,"")</f>
        <v/>
      </c>
      <c r="D54" s="47">
        <f>IF('G2 MT Reading Scoresheet'!D56&lt;&gt;"",'G2 MT Reading Scoresheet'!D56,"")</f>
        <v/>
      </c>
      <c r="E54" s="210">
        <f>'G2 MT Reading Scoresheet'!$J56</f>
        <v/>
      </c>
      <c r="F54" s="246">
        <f>IF(C54&lt;&gt;"",'G2 MT Reading Scoresheet'!$I56/30,"")</f>
        <v/>
      </c>
      <c r="G54" s="246">
        <f>IF(AND($C54&lt;&gt;"",$E54&lt;&gt;"Full Refresher"),'G2 MT Reading Scoresheet'!$Q56,"")</f>
        <v/>
      </c>
      <c r="H54" s="246">
        <f>IF(AND(C54&lt;&gt;"",E54&lt;&gt;"Full Refresher"),'G2 MT Reading Scoresheet'!$R56/6,"")</f>
        <v/>
      </c>
      <c r="I54" s="210">
        <f>IF(AND(D54&lt;&gt;"",F54&lt;&gt;"Full Refresher"),'G2 MT Reading Scoresheet'!$P56,"")</f>
        <v/>
      </c>
      <c r="J54" s="250">
        <f>'G2 MT Reading Scoresheet'!$U56</f>
        <v/>
      </c>
      <c r="K54" s="57">
        <f>'G2 FIL Reading Scoresheet'!$J56</f>
        <v/>
      </c>
      <c r="L54" s="248">
        <f>IF($C54&lt;&gt;"",'G2 FIL Reading Scoresheet'!$I56/30,"")</f>
        <v/>
      </c>
      <c r="M54" s="248">
        <f>IF(AND($C54&lt;&gt;"",$K54&lt;&gt;"Full Refresher"),'G2 FIL Reading Scoresheet'!$Q56,"")</f>
        <v/>
      </c>
      <c r="N54" s="248">
        <f>IF(AND($C54&lt;&gt;"",K54&lt;&gt;"Full Refresher"),'G2 FIL Reading Scoresheet'!$R56/6,"")</f>
        <v/>
      </c>
      <c r="O54" s="57">
        <f>IF(AND(C54&lt;&gt;"",K54&lt;&gt;"Full Refresher"),'G2 FIL Reading Scoresheet'!$P56,"")</f>
        <v/>
      </c>
      <c r="P54" s="251">
        <f>'G2 FIL Reading Scoresheet'!$U56</f>
        <v/>
      </c>
      <c r="Q54" s="48">
        <f>CONCATENATE(IF(ISBLANK('G2 MT Reading Scoresheet'!V56),"",CONCATENATE("MT:",TRIM('G2 MT Reading Scoresheet'!V56)))," ",IF(ISBLANK('G2 FIL Reading Scoresheet'!V56),"",CONCATENATE("FIL:",TRIM('G2 FIL Reading Scoresheet'!V56))))</f>
        <v/>
      </c>
    </row>
    <row r="55">
      <c r="A55" s="43" t="n">
        <v>47</v>
      </c>
      <c r="B55" s="49">
        <f>IF('G2 MT Reading Scoresheet'!B57&lt;&gt;"",'G2 MT Reading Scoresheet'!B57,"")</f>
        <v/>
      </c>
      <c r="C55" s="50">
        <f>IF('G2 MT Reading Scoresheet'!C57&lt;&gt;"",'G2 MT Reading Scoresheet'!C57,"")</f>
        <v/>
      </c>
      <c r="D55" s="51">
        <f>IF('G2 MT Reading Scoresheet'!D57&lt;&gt;"",'G2 MT Reading Scoresheet'!D57,"")</f>
        <v/>
      </c>
      <c r="E55" s="210">
        <f>'G2 MT Reading Scoresheet'!$J57</f>
        <v/>
      </c>
      <c r="F55" s="246">
        <f>IF(C55&lt;&gt;"",'G2 MT Reading Scoresheet'!$I57/30,"")</f>
        <v/>
      </c>
      <c r="G55" s="246">
        <f>IF(AND($C55&lt;&gt;"",$E55&lt;&gt;"Full Refresher"),'G2 MT Reading Scoresheet'!$Q57,"")</f>
        <v/>
      </c>
      <c r="H55" s="246">
        <f>IF(AND(C55&lt;&gt;"",E55&lt;&gt;"Full Refresher"),'G2 MT Reading Scoresheet'!$R57/6,"")</f>
        <v/>
      </c>
      <c r="I55" s="210">
        <f>IF(AND(D55&lt;&gt;"",F55&lt;&gt;"Full Refresher"),'G2 MT Reading Scoresheet'!$P57,"")</f>
        <v/>
      </c>
      <c r="J55" s="250">
        <f>'G2 MT Reading Scoresheet'!$U57</f>
        <v/>
      </c>
      <c r="K55" s="57">
        <f>'G2 FIL Reading Scoresheet'!$J57</f>
        <v/>
      </c>
      <c r="L55" s="248">
        <f>IF($C55&lt;&gt;"",'G2 FIL Reading Scoresheet'!$I57/30,"")</f>
        <v/>
      </c>
      <c r="M55" s="248">
        <f>IF(AND($C55&lt;&gt;"",$K55&lt;&gt;"Full Refresher"),'G2 FIL Reading Scoresheet'!$Q57,"")</f>
        <v/>
      </c>
      <c r="N55" s="248">
        <f>IF(AND($C55&lt;&gt;"",K55&lt;&gt;"Full Refresher"),'G2 FIL Reading Scoresheet'!$R57/6,"")</f>
        <v/>
      </c>
      <c r="O55" s="57">
        <f>IF(AND(C55&lt;&gt;"",K55&lt;&gt;"Full Refresher"),'G2 FIL Reading Scoresheet'!$P57,"")</f>
        <v/>
      </c>
      <c r="P55" s="251">
        <f>'G2 FIL Reading Scoresheet'!$U57</f>
        <v/>
      </c>
      <c r="Q55" s="52">
        <f>CONCATENATE(IF(ISBLANK('G2 MT Reading Scoresheet'!V57),"",CONCATENATE("MT:",TRIM('G2 MT Reading Scoresheet'!V57)))," ",IF(ISBLANK('G2 FIL Reading Scoresheet'!V57),"",CONCATENATE("FIL:",TRIM('G2 FIL Reading Scoresheet'!V57))))</f>
        <v/>
      </c>
    </row>
    <row r="56">
      <c r="A56" s="44" t="n">
        <v>48</v>
      </c>
      <c r="B56" s="45">
        <f>IF('G2 MT Reading Scoresheet'!B58&lt;&gt;"",'G2 MT Reading Scoresheet'!B58,"")</f>
        <v/>
      </c>
      <c r="C56" s="46">
        <f>IF('G2 MT Reading Scoresheet'!C58&lt;&gt;"",'G2 MT Reading Scoresheet'!C58,"")</f>
        <v/>
      </c>
      <c r="D56" s="47">
        <f>IF('G2 MT Reading Scoresheet'!D58&lt;&gt;"",'G2 MT Reading Scoresheet'!D58,"")</f>
        <v/>
      </c>
      <c r="E56" s="210">
        <f>'G2 MT Reading Scoresheet'!$J58</f>
        <v/>
      </c>
      <c r="F56" s="246">
        <f>IF(C56&lt;&gt;"",'G2 MT Reading Scoresheet'!$I58/30,"")</f>
        <v/>
      </c>
      <c r="G56" s="246">
        <f>IF(AND($C56&lt;&gt;"",$E56&lt;&gt;"Full Refresher"),'G2 MT Reading Scoresheet'!$Q58,"")</f>
        <v/>
      </c>
      <c r="H56" s="246">
        <f>IF(AND(C56&lt;&gt;"",E56&lt;&gt;"Full Refresher"),'G2 MT Reading Scoresheet'!$R58/6,"")</f>
        <v/>
      </c>
      <c r="I56" s="210">
        <f>IF(AND(D56&lt;&gt;"",F56&lt;&gt;"Full Refresher"),'G2 MT Reading Scoresheet'!$P58,"")</f>
        <v/>
      </c>
      <c r="J56" s="250">
        <f>'G2 MT Reading Scoresheet'!$U58</f>
        <v/>
      </c>
      <c r="K56" s="57">
        <f>'G2 FIL Reading Scoresheet'!$J58</f>
        <v/>
      </c>
      <c r="L56" s="248">
        <f>IF($C56&lt;&gt;"",'G2 FIL Reading Scoresheet'!$I58/30,"")</f>
        <v/>
      </c>
      <c r="M56" s="248">
        <f>IF(AND($C56&lt;&gt;"",$K56&lt;&gt;"Full Refresher"),'G2 FIL Reading Scoresheet'!$Q58,"")</f>
        <v/>
      </c>
      <c r="N56" s="248">
        <f>IF(AND($C56&lt;&gt;"",K56&lt;&gt;"Full Refresher"),'G2 FIL Reading Scoresheet'!$R58/6,"")</f>
        <v/>
      </c>
      <c r="O56" s="57">
        <f>IF(AND(C56&lt;&gt;"",K56&lt;&gt;"Full Refresher"),'G2 FIL Reading Scoresheet'!$P58,"")</f>
        <v/>
      </c>
      <c r="P56" s="251">
        <f>'G2 FIL Reading Scoresheet'!$U58</f>
        <v/>
      </c>
      <c r="Q56" s="48">
        <f>CONCATENATE(IF(ISBLANK('G2 MT Reading Scoresheet'!V58),"",CONCATENATE("MT:",TRIM('G2 MT Reading Scoresheet'!V58)))," ",IF(ISBLANK('G2 FIL Reading Scoresheet'!V58),"",CONCATENATE("FIL:",TRIM('G2 FIL Reading Scoresheet'!V58))))</f>
        <v/>
      </c>
    </row>
    <row r="57">
      <c r="A57" s="43" t="n">
        <v>49</v>
      </c>
      <c r="B57" s="49">
        <f>IF('G2 MT Reading Scoresheet'!B59&lt;&gt;"",'G2 MT Reading Scoresheet'!B59,"")</f>
        <v/>
      </c>
      <c r="C57" s="50">
        <f>IF('G2 MT Reading Scoresheet'!C59&lt;&gt;"",'G2 MT Reading Scoresheet'!C59,"")</f>
        <v/>
      </c>
      <c r="D57" s="51">
        <f>IF('G2 MT Reading Scoresheet'!D59&lt;&gt;"",'G2 MT Reading Scoresheet'!D59,"")</f>
        <v/>
      </c>
      <c r="E57" s="210">
        <f>'G2 MT Reading Scoresheet'!$J59</f>
        <v/>
      </c>
      <c r="F57" s="246">
        <f>IF(C57&lt;&gt;"",'G2 MT Reading Scoresheet'!$I59/30,"")</f>
        <v/>
      </c>
      <c r="G57" s="246">
        <f>IF(AND($C57&lt;&gt;"",$E57&lt;&gt;"Full Refresher"),'G2 MT Reading Scoresheet'!$Q59,"")</f>
        <v/>
      </c>
      <c r="H57" s="246">
        <f>IF(AND(C57&lt;&gt;"",E57&lt;&gt;"Full Refresher"),'G2 MT Reading Scoresheet'!$R59/6,"")</f>
        <v/>
      </c>
      <c r="I57" s="210">
        <f>IF(AND(D57&lt;&gt;"",F57&lt;&gt;"Full Refresher"),'G2 MT Reading Scoresheet'!$P59,"")</f>
        <v/>
      </c>
      <c r="J57" s="250">
        <f>'G2 MT Reading Scoresheet'!$U59</f>
        <v/>
      </c>
      <c r="K57" s="57">
        <f>'G2 FIL Reading Scoresheet'!$J59</f>
        <v/>
      </c>
      <c r="L57" s="248">
        <f>IF($C57&lt;&gt;"",'G2 FIL Reading Scoresheet'!$I59/30,"")</f>
        <v/>
      </c>
      <c r="M57" s="248">
        <f>IF(AND($C57&lt;&gt;"",$K57&lt;&gt;"Full Refresher"),'G2 FIL Reading Scoresheet'!$Q59,"")</f>
        <v/>
      </c>
      <c r="N57" s="248">
        <f>IF(AND($C57&lt;&gt;"",K57&lt;&gt;"Full Refresher"),'G2 FIL Reading Scoresheet'!$R59/6,"")</f>
        <v/>
      </c>
      <c r="O57" s="57">
        <f>IF(AND(C57&lt;&gt;"",K57&lt;&gt;"Full Refresher"),'G2 FIL Reading Scoresheet'!$P59,"")</f>
        <v/>
      </c>
      <c r="P57" s="251">
        <f>'G2 FIL Reading Scoresheet'!$U59</f>
        <v/>
      </c>
      <c r="Q57" s="52">
        <f>CONCATENATE(IF(ISBLANK('G2 MT Reading Scoresheet'!V59),"",CONCATENATE("MT:",TRIM('G2 MT Reading Scoresheet'!V59)))," ",IF(ISBLANK('G2 FIL Reading Scoresheet'!V59),"",CONCATENATE("FIL:",TRIM('G2 FIL Reading Scoresheet'!V59))))</f>
        <v/>
      </c>
    </row>
    <row r="58">
      <c r="A58" s="44" t="n">
        <v>50</v>
      </c>
      <c r="B58" s="45">
        <f>IF('G2 MT Reading Scoresheet'!B60&lt;&gt;"",'G2 MT Reading Scoresheet'!B60,"")</f>
        <v/>
      </c>
      <c r="C58" s="46">
        <f>IF('G2 MT Reading Scoresheet'!C60&lt;&gt;"",'G2 MT Reading Scoresheet'!C60,"")</f>
        <v/>
      </c>
      <c r="D58" s="47">
        <f>IF('G2 MT Reading Scoresheet'!D60&lt;&gt;"",'G2 MT Reading Scoresheet'!D60,"")</f>
        <v/>
      </c>
      <c r="E58" s="210">
        <f>'G2 MT Reading Scoresheet'!$J60</f>
        <v/>
      </c>
      <c r="F58" s="246">
        <f>IF(C58&lt;&gt;"",'G2 MT Reading Scoresheet'!$I60/30,"")</f>
        <v/>
      </c>
      <c r="G58" s="246">
        <f>IF(AND($C58&lt;&gt;"",$E58&lt;&gt;"Full Refresher"),'G2 MT Reading Scoresheet'!$Q60,"")</f>
        <v/>
      </c>
      <c r="H58" s="246">
        <f>IF(AND(C58&lt;&gt;"",E58&lt;&gt;"Full Refresher"),'G2 MT Reading Scoresheet'!$R60/6,"")</f>
        <v/>
      </c>
      <c r="I58" s="210">
        <f>IF(AND(D58&lt;&gt;"",F58&lt;&gt;"Full Refresher"),'G2 MT Reading Scoresheet'!$P60,"")</f>
        <v/>
      </c>
      <c r="J58" s="250">
        <f>'G2 MT Reading Scoresheet'!$U60</f>
        <v/>
      </c>
      <c r="K58" s="57">
        <f>'G2 FIL Reading Scoresheet'!$J60</f>
        <v/>
      </c>
      <c r="L58" s="248">
        <f>IF($C58&lt;&gt;"",'G2 FIL Reading Scoresheet'!$I60/30,"")</f>
        <v/>
      </c>
      <c r="M58" s="248">
        <f>IF(AND($C58&lt;&gt;"",$K58&lt;&gt;"Full Refresher"),'G2 FIL Reading Scoresheet'!$Q60,"")</f>
        <v/>
      </c>
      <c r="N58" s="248">
        <f>IF(AND($C58&lt;&gt;"",K58&lt;&gt;"Full Refresher"),'G2 FIL Reading Scoresheet'!$R60/6,"")</f>
        <v/>
      </c>
      <c r="O58" s="57">
        <f>IF(AND(C58&lt;&gt;"",K58&lt;&gt;"Full Refresher"),'G2 FIL Reading Scoresheet'!$P60,"")</f>
        <v/>
      </c>
      <c r="P58" s="251">
        <f>'G2 FIL Reading Scoresheet'!$U60</f>
        <v/>
      </c>
      <c r="Q58" s="48">
        <f>CONCATENATE(IF(ISBLANK('G2 MT Reading Scoresheet'!V60),"",CONCATENATE("MT:",TRIM('G2 MT Reading Scoresheet'!V60)))," ",IF(ISBLANK('G2 FIL Reading Scoresheet'!V60),"",CONCATENATE("FIL:",TRIM('G2 FIL Reading Scoresheet'!V60))))</f>
        <v/>
      </c>
    </row>
    <row r="59">
      <c r="A59" s="43" t="n">
        <v>51</v>
      </c>
      <c r="B59" s="49">
        <f>IF('G2 MT Reading Scoresheet'!B61&lt;&gt;"",'G2 MT Reading Scoresheet'!B61,"")</f>
        <v/>
      </c>
      <c r="C59" s="50">
        <f>IF('G2 MT Reading Scoresheet'!C61&lt;&gt;"",'G2 MT Reading Scoresheet'!C61,"")</f>
        <v/>
      </c>
      <c r="D59" s="51">
        <f>IF('G2 MT Reading Scoresheet'!D61&lt;&gt;"",'G2 MT Reading Scoresheet'!D61,"")</f>
        <v/>
      </c>
      <c r="E59" s="210">
        <f>'G2 MT Reading Scoresheet'!$J61</f>
        <v/>
      </c>
      <c r="F59" s="246">
        <f>IF(C59&lt;&gt;"",'G2 MT Reading Scoresheet'!$I61/30,"")</f>
        <v/>
      </c>
      <c r="G59" s="246">
        <f>IF(AND($C59&lt;&gt;"",$E59&lt;&gt;"Full Refresher"),'G2 MT Reading Scoresheet'!$Q61,"")</f>
        <v/>
      </c>
      <c r="H59" s="246">
        <f>IF(AND(C59&lt;&gt;"",E59&lt;&gt;"Full Refresher"),'G2 MT Reading Scoresheet'!$R61/6,"")</f>
        <v/>
      </c>
      <c r="I59" s="210">
        <f>IF(AND(D59&lt;&gt;"",F59&lt;&gt;"Full Refresher"),'G2 MT Reading Scoresheet'!$P61,"")</f>
        <v/>
      </c>
      <c r="J59" s="250">
        <f>'G2 MT Reading Scoresheet'!$U61</f>
        <v/>
      </c>
      <c r="K59" s="57">
        <f>'G2 FIL Reading Scoresheet'!$J61</f>
        <v/>
      </c>
      <c r="L59" s="248">
        <f>IF($C59&lt;&gt;"",'G2 FIL Reading Scoresheet'!$I61/30,"")</f>
        <v/>
      </c>
      <c r="M59" s="248">
        <f>IF(AND($C59&lt;&gt;"",$K59&lt;&gt;"Full Refresher"),'G2 FIL Reading Scoresheet'!$Q61,"")</f>
        <v/>
      </c>
      <c r="N59" s="248">
        <f>IF(AND($C59&lt;&gt;"",K59&lt;&gt;"Full Refresher"),'G2 FIL Reading Scoresheet'!$R61/6,"")</f>
        <v/>
      </c>
      <c r="O59" s="57">
        <f>IF(AND(C59&lt;&gt;"",K59&lt;&gt;"Full Refresher"),'G2 FIL Reading Scoresheet'!$P61,"")</f>
        <v/>
      </c>
      <c r="P59" s="251">
        <f>'G2 FIL Reading Scoresheet'!$U61</f>
        <v/>
      </c>
      <c r="Q59" s="52">
        <f>CONCATENATE(IF(ISBLANK('G2 MT Reading Scoresheet'!V61),"",CONCATENATE("MT:",TRIM('G2 MT Reading Scoresheet'!V61)))," ",IF(ISBLANK('G2 FIL Reading Scoresheet'!V61),"",CONCATENATE("FIL:",TRIM('G2 FIL Reading Scoresheet'!V61))))</f>
        <v/>
      </c>
    </row>
    <row r="60">
      <c r="A60" s="44" t="n">
        <v>52</v>
      </c>
      <c r="B60" s="45">
        <f>IF('G2 MT Reading Scoresheet'!B62&lt;&gt;"",'G2 MT Reading Scoresheet'!B62,"")</f>
        <v/>
      </c>
      <c r="C60" s="46">
        <f>IF('G2 MT Reading Scoresheet'!C62&lt;&gt;"",'G2 MT Reading Scoresheet'!C62,"")</f>
        <v/>
      </c>
      <c r="D60" s="47">
        <f>IF('G2 MT Reading Scoresheet'!D62&lt;&gt;"",'G2 MT Reading Scoresheet'!D62,"")</f>
        <v/>
      </c>
      <c r="E60" s="210">
        <f>'G2 MT Reading Scoresheet'!$J62</f>
        <v/>
      </c>
      <c r="F60" s="246">
        <f>IF(C60&lt;&gt;"",'G2 MT Reading Scoresheet'!$I62/30,"")</f>
        <v/>
      </c>
      <c r="G60" s="246">
        <f>IF(AND($C60&lt;&gt;"",$E60&lt;&gt;"Full Refresher"),'G2 MT Reading Scoresheet'!$Q62,"")</f>
        <v/>
      </c>
      <c r="H60" s="246">
        <f>IF(AND(C60&lt;&gt;"",E60&lt;&gt;"Full Refresher"),'G2 MT Reading Scoresheet'!$R62/6,"")</f>
        <v/>
      </c>
      <c r="I60" s="210">
        <f>IF(AND(D60&lt;&gt;"",F60&lt;&gt;"Full Refresher"),'G2 MT Reading Scoresheet'!$P62,"")</f>
        <v/>
      </c>
      <c r="J60" s="250">
        <f>'G2 MT Reading Scoresheet'!$U62</f>
        <v/>
      </c>
      <c r="K60" s="57">
        <f>'G2 FIL Reading Scoresheet'!$J62</f>
        <v/>
      </c>
      <c r="L60" s="248">
        <f>IF($C60&lt;&gt;"",'G2 FIL Reading Scoresheet'!$I62/30,"")</f>
        <v/>
      </c>
      <c r="M60" s="248">
        <f>IF(AND($C60&lt;&gt;"",$K60&lt;&gt;"Full Refresher"),'G2 FIL Reading Scoresheet'!$Q62,"")</f>
        <v/>
      </c>
      <c r="N60" s="248">
        <f>IF(AND($C60&lt;&gt;"",K60&lt;&gt;"Full Refresher"),'G2 FIL Reading Scoresheet'!$R62/6,"")</f>
        <v/>
      </c>
      <c r="O60" s="57">
        <f>IF(AND(C60&lt;&gt;"",K60&lt;&gt;"Full Refresher"),'G2 FIL Reading Scoresheet'!$P62,"")</f>
        <v/>
      </c>
      <c r="P60" s="251">
        <f>'G2 FIL Reading Scoresheet'!$U62</f>
        <v/>
      </c>
      <c r="Q60" s="48">
        <f>CONCATENATE(IF(ISBLANK('G2 MT Reading Scoresheet'!V62),"",CONCATENATE("MT:",TRIM('G2 MT Reading Scoresheet'!V62)))," ",IF(ISBLANK('G2 FIL Reading Scoresheet'!V62),"",CONCATENATE("FIL:",TRIM('G2 FIL Reading Scoresheet'!V62))))</f>
        <v/>
      </c>
    </row>
    <row r="61">
      <c r="A61" s="43" t="n">
        <v>53</v>
      </c>
      <c r="B61" s="49">
        <f>IF('G2 MT Reading Scoresheet'!B63&lt;&gt;"",'G2 MT Reading Scoresheet'!B63,"")</f>
        <v/>
      </c>
      <c r="C61" s="50">
        <f>IF('G2 MT Reading Scoresheet'!C63&lt;&gt;"",'G2 MT Reading Scoresheet'!C63,"")</f>
        <v/>
      </c>
      <c r="D61" s="51">
        <f>IF('G2 MT Reading Scoresheet'!D63&lt;&gt;"",'G2 MT Reading Scoresheet'!D63,"")</f>
        <v/>
      </c>
      <c r="E61" s="210">
        <f>'G2 MT Reading Scoresheet'!$J63</f>
        <v/>
      </c>
      <c r="F61" s="246">
        <f>IF(C61&lt;&gt;"",'G2 MT Reading Scoresheet'!$I63/30,"")</f>
        <v/>
      </c>
      <c r="G61" s="246">
        <f>IF(AND($C61&lt;&gt;"",$E61&lt;&gt;"Full Refresher"),'G2 MT Reading Scoresheet'!$Q63,"")</f>
        <v/>
      </c>
      <c r="H61" s="246">
        <f>IF(AND(C61&lt;&gt;"",E61&lt;&gt;"Full Refresher"),'G2 MT Reading Scoresheet'!$R63/6,"")</f>
        <v/>
      </c>
      <c r="I61" s="210">
        <f>IF(AND(D61&lt;&gt;"",F61&lt;&gt;"Full Refresher"),'G2 MT Reading Scoresheet'!$P63,"")</f>
        <v/>
      </c>
      <c r="J61" s="250">
        <f>'G2 MT Reading Scoresheet'!$U63</f>
        <v/>
      </c>
      <c r="K61" s="57">
        <f>'G2 FIL Reading Scoresheet'!$J63</f>
        <v/>
      </c>
      <c r="L61" s="248">
        <f>IF($C61&lt;&gt;"",'G2 FIL Reading Scoresheet'!$I63/30,"")</f>
        <v/>
      </c>
      <c r="M61" s="248">
        <f>IF(AND($C61&lt;&gt;"",$K61&lt;&gt;"Full Refresher"),'G2 FIL Reading Scoresheet'!$Q63,"")</f>
        <v/>
      </c>
      <c r="N61" s="248">
        <f>IF(AND($C61&lt;&gt;"",K61&lt;&gt;"Full Refresher"),'G2 FIL Reading Scoresheet'!$R63/6,"")</f>
        <v/>
      </c>
      <c r="O61" s="57">
        <f>IF(AND(C61&lt;&gt;"",K61&lt;&gt;"Full Refresher"),'G2 FIL Reading Scoresheet'!$P63,"")</f>
        <v/>
      </c>
      <c r="P61" s="251">
        <f>'G2 FIL Reading Scoresheet'!$U63</f>
        <v/>
      </c>
      <c r="Q61" s="52">
        <f>CONCATENATE(IF(ISBLANK('G2 MT Reading Scoresheet'!V63),"",CONCATENATE("MT:",TRIM('G2 MT Reading Scoresheet'!V63)))," ",IF(ISBLANK('G2 FIL Reading Scoresheet'!V63),"",CONCATENATE("FIL:",TRIM('G2 FIL Reading Scoresheet'!V63))))</f>
        <v/>
      </c>
    </row>
    <row r="62">
      <c r="A62" s="44" t="n">
        <v>54</v>
      </c>
      <c r="B62" s="45">
        <f>IF('G2 MT Reading Scoresheet'!B64&lt;&gt;"",'G2 MT Reading Scoresheet'!B64,"")</f>
        <v/>
      </c>
      <c r="C62" s="46">
        <f>IF('G2 MT Reading Scoresheet'!C64&lt;&gt;"",'G2 MT Reading Scoresheet'!C64,"")</f>
        <v/>
      </c>
      <c r="D62" s="47">
        <f>IF('G2 MT Reading Scoresheet'!D64&lt;&gt;"",'G2 MT Reading Scoresheet'!D64,"")</f>
        <v/>
      </c>
      <c r="E62" s="210">
        <f>'G2 MT Reading Scoresheet'!$J64</f>
        <v/>
      </c>
      <c r="F62" s="246">
        <f>IF(C62&lt;&gt;"",'G2 MT Reading Scoresheet'!$I64/30,"")</f>
        <v/>
      </c>
      <c r="G62" s="246">
        <f>IF(AND($C62&lt;&gt;"",$E62&lt;&gt;"Full Refresher"),'G2 MT Reading Scoresheet'!$Q64,"")</f>
        <v/>
      </c>
      <c r="H62" s="246">
        <f>IF(AND(C62&lt;&gt;"",E62&lt;&gt;"Full Refresher"),'G2 MT Reading Scoresheet'!$R64/6,"")</f>
        <v/>
      </c>
      <c r="I62" s="210">
        <f>IF(AND(D62&lt;&gt;"",F62&lt;&gt;"Full Refresher"),'G2 MT Reading Scoresheet'!$P64,"")</f>
        <v/>
      </c>
      <c r="J62" s="250">
        <f>'G2 MT Reading Scoresheet'!$U64</f>
        <v/>
      </c>
      <c r="K62" s="57">
        <f>'G2 FIL Reading Scoresheet'!$J64</f>
        <v/>
      </c>
      <c r="L62" s="248">
        <f>IF($C62&lt;&gt;"",'G2 FIL Reading Scoresheet'!$I64/30,"")</f>
        <v/>
      </c>
      <c r="M62" s="248">
        <f>IF(AND($C62&lt;&gt;"",$K62&lt;&gt;"Full Refresher"),'G2 FIL Reading Scoresheet'!$Q64,"")</f>
        <v/>
      </c>
      <c r="N62" s="248">
        <f>IF(AND($C62&lt;&gt;"",K62&lt;&gt;"Full Refresher"),'G2 FIL Reading Scoresheet'!$R64/6,"")</f>
        <v/>
      </c>
      <c r="O62" s="57">
        <f>IF(AND(C62&lt;&gt;"",K62&lt;&gt;"Full Refresher"),'G2 FIL Reading Scoresheet'!$P64,"")</f>
        <v/>
      </c>
      <c r="P62" s="251">
        <f>'G2 FIL Reading Scoresheet'!$U64</f>
        <v/>
      </c>
      <c r="Q62" s="48">
        <f>CONCATENATE(IF(ISBLANK('G2 MT Reading Scoresheet'!V64),"",CONCATENATE("MT:",TRIM('G2 MT Reading Scoresheet'!V64)))," ",IF(ISBLANK('G2 FIL Reading Scoresheet'!V64),"",CONCATENATE("FIL:",TRIM('G2 FIL Reading Scoresheet'!V64))))</f>
        <v/>
      </c>
    </row>
    <row r="63">
      <c r="A63" s="43" t="n">
        <v>55</v>
      </c>
      <c r="B63" s="49">
        <f>IF('G2 MT Reading Scoresheet'!B65&lt;&gt;"",'G2 MT Reading Scoresheet'!B65,"")</f>
        <v/>
      </c>
      <c r="C63" s="50">
        <f>IF('G2 MT Reading Scoresheet'!C65&lt;&gt;"",'G2 MT Reading Scoresheet'!C65,"")</f>
        <v/>
      </c>
      <c r="D63" s="51">
        <f>IF('G2 MT Reading Scoresheet'!D65&lt;&gt;"",'G2 MT Reading Scoresheet'!D65,"")</f>
        <v/>
      </c>
      <c r="E63" s="210">
        <f>'G2 MT Reading Scoresheet'!$J65</f>
        <v/>
      </c>
      <c r="F63" s="246">
        <f>IF(C63&lt;&gt;"",'G2 MT Reading Scoresheet'!$I65/30,"")</f>
        <v/>
      </c>
      <c r="G63" s="246">
        <f>IF(AND($C63&lt;&gt;"",$E63&lt;&gt;"Full Refresher"),'G2 MT Reading Scoresheet'!$Q65,"")</f>
        <v/>
      </c>
      <c r="H63" s="246">
        <f>IF(AND(C63&lt;&gt;"",E63&lt;&gt;"Full Refresher"),'G2 MT Reading Scoresheet'!$R65/6,"")</f>
        <v/>
      </c>
      <c r="I63" s="210">
        <f>IF(AND(D63&lt;&gt;"",F63&lt;&gt;"Full Refresher"),'G2 MT Reading Scoresheet'!$P65,"")</f>
        <v/>
      </c>
      <c r="J63" s="250">
        <f>'G2 MT Reading Scoresheet'!$U65</f>
        <v/>
      </c>
      <c r="K63" s="57">
        <f>'G2 FIL Reading Scoresheet'!$J65</f>
        <v/>
      </c>
      <c r="L63" s="248">
        <f>IF($C63&lt;&gt;"",'G2 FIL Reading Scoresheet'!$I65/30,"")</f>
        <v/>
      </c>
      <c r="M63" s="248">
        <f>IF(AND($C63&lt;&gt;"",$K63&lt;&gt;"Full Refresher"),'G2 FIL Reading Scoresheet'!$Q65,"")</f>
        <v/>
      </c>
      <c r="N63" s="248">
        <f>IF(AND($C63&lt;&gt;"",K63&lt;&gt;"Full Refresher"),'G2 FIL Reading Scoresheet'!$R65/6,"")</f>
        <v/>
      </c>
      <c r="O63" s="57">
        <f>IF(AND(C63&lt;&gt;"",K63&lt;&gt;"Full Refresher"),'G2 FIL Reading Scoresheet'!$P65,"")</f>
        <v/>
      </c>
      <c r="P63" s="251">
        <f>'G2 FIL Reading Scoresheet'!$U65</f>
        <v/>
      </c>
      <c r="Q63" s="52">
        <f>CONCATENATE(IF(ISBLANK('G2 MT Reading Scoresheet'!V65),"",CONCATENATE("MT:",TRIM('G2 MT Reading Scoresheet'!V65)))," ",IF(ISBLANK('G2 FIL Reading Scoresheet'!V65),"",CONCATENATE("FIL:",TRIM('G2 FIL Reading Scoresheet'!V65))))</f>
        <v/>
      </c>
    </row>
    <row r="64">
      <c r="A64" s="44" t="n">
        <v>56</v>
      </c>
      <c r="B64" s="45">
        <f>IF('G2 MT Reading Scoresheet'!B66&lt;&gt;"",'G2 MT Reading Scoresheet'!B66,"")</f>
        <v/>
      </c>
      <c r="C64" s="46">
        <f>IF('G2 MT Reading Scoresheet'!C66&lt;&gt;"",'G2 MT Reading Scoresheet'!C66,"")</f>
        <v/>
      </c>
      <c r="D64" s="47">
        <f>IF('G2 MT Reading Scoresheet'!D66&lt;&gt;"",'G2 MT Reading Scoresheet'!D66,"")</f>
        <v/>
      </c>
      <c r="E64" s="210">
        <f>'G2 MT Reading Scoresheet'!$J66</f>
        <v/>
      </c>
      <c r="F64" s="246">
        <f>IF(C64&lt;&gt;"",'G2 MT Reading Scoresheet'!$I66/30,"")</f>
        <v/>
      </c>
      <c r="G64" s="246">
        <f>IF(AND($C64&lt;&gt;"",$E64&lt;&gt;"Full Refresher"),'G2 MT Reading Scoresheet'!$Q66,"")</f>
        <v/>
      </c>
      <c r="H64" s="246">
        <f>IF(AND(C64&lt;&gt;"",E64&lt;&gt;"Full Refresher"),'G2 MT Reading Scoresheet'!$R66/6,"")</f>
        <v/>
      </c>
      <c r="I64" s="210">
        <f>IF(AND(D64&lt;&gt;"",F64&lt;&gt;"Full Refresher"),'G2 MT Reading Scoresheet'!$P66,"")</f>
        <v/>
      </c>
      <c r="J64" s="250">
        <f>'G2 MT Reading Scoresheet'!$U66</f>
        <v/>
      </c>
      <c r="K64" s="57">
        <f>'G2 FIL Reading Scoresheet'!$J66</f>
        <v/>
      </c>
      <c r="L64" s="248">
        <f>IF($C64&lt;&gt;"",'G2 FIL Reading Scoresheet'!$I66/30,"")</f>
        <v/>
      </c>
      <c r="M64" s="248">
        <f>IF(AND($C64&lt;&gt;"",$K64&lt;&gt;"Full Refresher"),'G2 FIL Reading Scoresheet'!$Q66,"")</f>
        <v/>
      </c>
      <c r="N64" s="248">
        <f>IF(AND($C64&lt;&gt;"",K64&lt;&gt;"Full Refresher"),'G2 FIL Reading Scoresheet'!$R66/6,"")</f>
        <v/>
      </c>
      <c r="O64" s="57">
        <f>IF(AND(C64&lt;&gt;"",K64&lt;&gt;"Full Refresher"),'G2 FIL Reading Scoresheet'!$P66,"")</f>
        <v/>
      </c>
      <c r="P64" s="251">
        <f>'G2 FIL Reading Scoresheet'!$U66</f>
        <v/>
      </c>
      <c r="Q64" s="48">
        <f>CONCATENATE(IF(ISBLANK('G2 MT Reading Scoresheet'!V66),"",CONCATENATE("MT:",TRIM('G2 MT Reading Scoresheet'!V66)))," ",IF(ISBLANK('G2 FIL Reading Scoresheet'!V66),"",CONCATENATE("FIL:",TRIM('G2 FIL Reading Scoresheet'!V66))))</f>
        <v/>
      </c>
    </row>
    <row r="65">
      <c r="A65" s="43" t="n">
        <v>57</v>
      </c>
      <c r="B65" s="49">
        <f>IF('G2 MT Reading Scoresheet'!B67&lt;&gt;"",'G2 MT Reading Scoresheet'!B67,"")</f>
        <v/>
      </c>
      <c r="C65" s="50">
        <f>IF('G2 MT Reading Scoresheet'!C67&lt;&gt;"",'G2 MT Reading Scoresheet'!C67,"")</f>
        <v/>
      </c>
      <c r="D65" s="51">
        <f>IF('G2 MT Reading Scoresheet'!D67&lt;&gt;"",'G2 MT Reading Scoresheet'!D67,"")</f>
        <v/>
      </c>
      <c r="E65" s="210">
        <f>'G2 MT Reading Scoresheet'!$J67</f>
        <v/>
      </c>
      <c r="F65" s="246">
        <f>IF(C65&lt;&gt;"",'G2 MT Reading Scoresheet'!$I67/30,"")</f>
        <v/>
      </c>
      <c r="G65" s="246">
        <f>IF(AND($C65&lt;&gt;"",$E65&lt;&gt;"Full Refresher"),'G2 MT Reading Scoresheet'!$Q67,"")</f>
        <v/>
      </c>
      <c r="H65" s="246">
        <f>IF(AND(C65&lt;&gt;"",E65&lt;&gt;"Full Refresher"),'G2 MT Reading Scoresheet'!$R67/6,"")</f>
        <v/>
      </c>
      <c r="I65" s="210">
        <f>IF(AND(D65&lt;&gt;"",F65&lt;&gt;"Full Refresher"),'G2 MT Reading Scoresheet'!$P67,"")</f>
        <v/>
      </c>
      <c r="J65" s="250">
        <f>'G2 MT Reading Scoresheet'!$U67</f>
        <v/>
      </c>
      <c r="K65" s="57">
        <f>'G2 FIL Reading Scoresheet'!$J67</f>
        <v/>
      </c>
      <c r="L65" s="248">
        <f>IF($C65&lt;&gt;"",'G2 FIL Reading Scoresheet'!$I67/30,"")</f>
        <v/>
      </c>
      <c r="M65" s="248">
        <f>IF(AND($C65&lt;&gt;"",$K65&lt;&gt;"Full Refresher"),'G2 FIL Reading Scoresheet'!$Q67,"")</f>
        <v/>
      </c>
      <c r="N65" s="248">
        <f>IF(AND($C65&lt;&gt;"",K65&lt;&gt;"Full Refresher"),'G2 FIL Reading Scoresheet'!$R67/6,"")</f>
        <v/>
      </c>
      <c r="O65" s="57">
        <f>IF(AND(C65&lt;&gt;"",K65&lt;&gt;"Full Refresher"),'G2 FIL Reading Scoresheet'!$P67,"")</f>
        <v/>
      </c>
      <c r="P65" s="251">
        <f>'G2 FIL Reading Scoresheet'!$U67</f>
        <v/>
      </c>
      <c r="Q65" s="52">
        <f>CONCATENATE(IF(ISBLANK('G2 MT Reading Scoresheet'!V67),"",CONCATENATE("MT:",TRIM('G2 MT Reading Scoresheet'!V67)))," ",IF(ISBLANK('G2 FIL Reading Scoresheet'!V67),"",CONCATENATE("FIL:",TRIM('G2 FIL Reading Scoresheet'!V67))))</f>
        <v/>
      </c>
    </row>
    <row r="66">
      <c r="A66" s="44" t="n">
        <v>58</v>
      </c>
      <c r="B66" s="45">
        <f>IF('G2 MT Reading Scoresheet'!B68&lt;&gt;"",'G2 MT Reading Scoresheet'!B68,"")</f>
        <v/>
      </c>
      <c r="C66" s="46">
        <f>IF('G2 MT Reading Scoresheet'!C68&lt;&gt;"",'G2 MT Reading Scoresheet'!C68,"")</f>
        <v/>
      </c>
      <c r="D66" s="47">
        <f>IF('G2 MT Reading Scoresheet'!D68&lt;&gt;"",'G2 MT Reading Scoresheet'!D68,"")</f>
        <v/>
      </c>
      <c r="E66" s="210">
        <f>'G2 MT Reading Scoresheet'!$J68</f>
        <v/>
      </c>
      <c r="F66" s="246">
        <f>IF(C66&lt;&gt;"",'G2 MT Reading Scoresheet'!$I68/30,"")</f>
        <v/>
      </c>
      <c r="G66" s="246">
        <f>IF(AND($C66&lt;&gt;"",$E66&lt;&gt;"Full Refresher"),'G2 MT Reading Scoresheet'!$Q68,"")</f>
        <v/>
      </c>
      <c r="H66" s="246">
        <f>IF(AND(C66&lt;&gt;"",E66&lt;&gt;"Full Refresher"),'G2 MT Reading Scoresheet'!$R68/6,"")</f>
        <v/>
      </c>
      <c r="I66" s="210">
        <f>IF(AND(D66&lt;&gt;"",F66&lt;&gt;"Full Refresher"),'G2 MT Reading Scoresheet'!$P68,"")</f>
        <v/>
      </c>
      <c r="J66" s="250">
        <f>'G2 MT Reading Scoresheet'!$U68</f>
        <v/>
      </c>
      <c r="K66" s="57">
        <f>'G2 FIL Reading Scoresheet'!$J68</f>
        <v/>
      </c>
      <c r="L66" s="248">
        <f>IF($C66&lt;&gt;"",'G2 FIL Reading Scoresheet'!$I68/30,"")</f>
        <v/>
      </c>
      <c r="M66" s="248">
        <f>IF(AND($C66&lt;&gt;"",$K66&lt;&gt;"Full Refresher"),'G2 FIL Reading Scoresheet'!$Q68,"")</f>
        <v/>
      </c>
      <c r="N66" s="248">
        <f>IF(AND($C66&lt;&gt;"",K66&lt;&gt;"Full Refresher"),'G2 FIL Reading Scoresheet'!$R68/6,"")</f>
        <v/>
      </c>
      <c r="O66" s="57">
        <f>IF(AND(C66&lt;&gt;"",K66&lt;&gt;"Full Refresher"),'G2 FIL Reading Scoresheet'!$P68,"")</f>
        <v/>
      </c>
      <c r="P66" s="251">
        <f>'G2 FIL Reading Scoresheet'!$U68</f>
        <v/>
      </c>
      <c r="Q66" s="48">
        <f>CONCATENATE(IF(ISBLANK('G2 MT Reading Scoresheet'!V68),"",CONCATENATE("MT:",TRIM('G2 MT Reading Scoresheet'!V68)))," ",IF(ISBLANK('G2 FIL Reading Scoresheet'!V68),"",CONCATENATE("FIL:",TRIM('G2 FIL Reading Scoresheet'!V68))))</f>
        <v/>
      </c>
    </row>
    <row r="67">
      <c r="A67" s="43" t="n">
        <v>59</v>
      </c>
      <c r="B67" s="49">
        <f>IF('G2 MT Reading Scoresheet'!B69&lt;&gt;"",'G2 MT Reading Scoresheet'!B69,"")</f>
        <v/>
      </c>
      <c r="C67" s="50">
        <f>IF('G2 MT Reading Scoresheet'!C69&lt;&gt;"",'G2 MT Reading Scoresheet'!C69,"")</f>
        <v/>
      </c>
      <c r="D67" s="51">
        <f>IF('G2 MT Reading Scoresheet'!D69&lt;&gt;"",'G2 MT Reading Scoresheet'!D69,"")</f>
        <v/>
      </c>
      <c r="E67" s="210">
        <f>'G2 MT Reading Scoresheet'!$J69</f>
        <v/>
      </c>
      <c r="F67" s="246">
        <f>IF(C67&lt;&gt;"",'G2 MT Reading Scoresheet'!$I69/30,"")</f>
        <v/>
      </c>
      <c r="G67" s="246">
        <f>IF(AND($C67&lt;&gt;"",$E67&lt;&gt;"Full Refresher"),'G2 MT Reading Scoresheet'!$Q69,"")</f>
        <v/>
      </c>
      <c r="H67" s="246">
        <f>IF(AND(C67&lt;&gt;"",E67&lt;&gt;"Full Refresher"),'G2 MT Reading Scoresheet'!$R69/6,"")</f>
        <v/>
      </c>
      <c r="I67" s="210">
        <f>IF(AND(D67&lt;&gt;"",F67&lt;&gt;"Full Refresher"),'G2 MT Reading Scoresheet'!$P69,"")</f>
        <v/>
      </c>
      <c r="J67" s="250">
        <f>'G2 MT Reading Scoresheet'!$U69</f>
        <v/>
      </c>
      <c r="K67" s="57">
        <f>'G2 FIL Reading Scoresheet'!$J69</f>
        <v/>
      </c>
      <c r="L67" s="248">
        <f>IF($C67&lt;&gt;"",'G2 FIL Reading Scoresheet'!$I69/30,"")</f>
        <v/>
      </c>
      <c r="M67" s="248">
        <f>IF(AND($C67&lt;&gt;"",$K67&lt;&gt;"Full Refresher"),'G2 FIL Reading Scoresheet'!$Q69,"")</f>
        <v/>
      </c>
      <c r="N67" s="248">
        <f>IF(AND($C67&lt;&gt;"",K67&lt;&gt;"Full Refresher"),'G2 FIL Reading Scoresheet'!$R69/6,"")</f>
        <v/>
      </c>
      <c r="O67" s="57">
        <f>IF(AND(C67&lt;&gt;"",K67&lt;&gt;"Full Refresher"),'G2 FIL Reading Scoresheet'!$P69,"")</f>
        <v/>
      </c>
      <c r="P67" s="251">
        <f>'G2 FIL Reading Scoresheet'!$U69</f>
        <v/>
      </c>
      <c r="Q67" s="52">
        <f>CONCATENATE(IF(ISBLANK('G2 MT Reading Scoresheet'!V69),"",CONCATENATE("MT:",TRIM('G2 MT Reading Scoresheet'!V69)))," ",IF(ISBLANK('G2 FIL Reading Scoresheet'!V69),"",CONCATENATE("FIL:",TRIM('G2 FIL Reading Scoresheet'!V69))))</f>
        <v/>
      </c>
    </row>
    <row r="68">
      <c r="A68" s="44">
        <f>A67+1</f>
        <v/>
      </c>
      <c r="B68" s="45">
        <f>IF('G2 MT Reading Scoresheet'!B70&lt;&gt;"",'G2 MT Reading Scoresheet'!B70,"")</f>
        <v/>
      </c>
      <c r="C68" s="46">
        <f>IF('G2 MT Reading Scoresheet'!C70&lt;&gt;"",'G2 MT Reading Scoresheet'!C70,"")</f>
        <v/>
      </c>
      <c r="D68" s="47">
        <f>IF('G2 MT Reading Scoresheet'!D70&lt;&gt;"",'G2 MT Reading Scoresheet'!D70,"")</f>
        <v/>
      </c>
      <c r="E68" s="210">
        <f>'G2 MT Reading Scoresheet'!$J70</f>
        <v/>
      </c>
      <c r="F68" s="246">
        <f>IF(C68&lt;&gt;"",'G2 MT Reading Scoresheet'!$I70/30,"")</f>
        <v/>
      </c>
      <c r="G68" s="246">
        <f>IF(AND($C68&lt;&gt;"",$E68&lt;&gt;"Full Refresher"),'G2 MT Reading Scoresheet'!$Q70,"")</f>
        <v/>
      </c>
      <c r="H68" s="246">
        <f>IF(AND(C68&lt;&gt;"",E68&lt;&gt;"Full Refresher"),'G2 MT Reading Scoresheet'!$R70/6,"")</f>
        <v/>
      </c>
      <c r="I68" s="210">
        <f>IF(AND(D68&lt;&gt;"",F68&lt;&gt;"Full Refresher"),'G2 MT Reading Scoresheet'!$P70,"")</f>
        <v/>
      </c>
      <c r="J68" s="250">
        <f>'G2 MT Reading Scoresheet'!$U70</f>
        <v/>
      </c>
      <c r="K68" s="57">
        <f>'G2 FIL Reading Scoresheet'!$J70</f>
        <v/>
      </c>
      <c r="L68" s="248">
        <f>IF($C68&lt;&gt;"",'G2 FIL Reading Scoresheet'!$I70/30,"")</f>
        <v/>
      </c>
      <c r="M68" s="248">
        <f>IF(AND($C68&lt;&gt;"",$K68&lt;&gt;"Full Refresher"),'G2 FIL Reading Scoresheet'!$Q70,"")</f>
        <v/>
      </c>
      <c r="N68" s="248">
        <f>IF(AND($C68&lt;&gt;"",K68&lt;&gt;"Full Refresher"),'G2 FIL Reading Scoresheet'!$R70/6,"")</f>
        <v/>
      </c>
      <c r="O68" s="57">
        <f>IF(AND(C68&lt;&gt;"",K68&lt;&gt;"Full Refresher"),'G2 FIL Reading Scoresheet'!$P70,"")</f>
        <v/>
      </c>
      <c r="P68" s="251">
        <f>'G2 FIL Reading Scoresheet'!$U70</f>
        <v/>
      </c>
      <c r="Q68" s="48">
        <f>CONCATENATE(IF(ISBLANK('G2 MT Reading Scoresheet'!V70),"",CONCATENATE("MT:",TRIM('G2 MT Reading Scoresheet'!V70)))," ",IF(ISBLANK('G2 FIL Reading Scoresheet'!V70),"",CONCATENATE("FIL:",TRIM('G2 FIL Reading Scoresheet'!V70))))</f>
        <v/>
      </c>
    </row>
    <row r="69">
      <c r="A69" s="43">
        <f>A68+1</f>
        <v/>
      </c>
      <c r="B69" s="49">
        <f>IF('G2 MT Reading Scoresheet'!B71&lt;&gt;"",'G2 MT Reading Scoresheet'!B71,"")</f>
        <v/>
      </c>
      <c r="C69" s="50">
        <f>IF('G2 MT Reading Scoresheet'!C71&lt;&gt;"",'G2 MT Reading Scoresheet'!C71,"")</f>
        <v/>
      </c>
      <c r="D69" s="51">
        <f>IF('G2 MT Reading Scoresheet'!D71&lt;&gt;"",'G2 MT Reading Scoresheet'!D71,"")</f>
        <v/>
      </c>
      <c r="E69" s="210">
        <f>'G2 MT Reading Scoresheet'!$J71</f>
        <v/>
      </c>
      <c r="F69" s="246">
        <f>IF(C69&lt;&gt;"",'G2 MT Reading Scoresheet'!$I71/30,"")</f>
        <v/>
      </c>
      <c r="G69" s="246">
        <f>IF(AND($C69&lt;&gt;"",$E69&lt;&gt;"Full Refresher"),'G2 MT Reading Scoresheet'!$Q71,"")</f>
        <v/>
      </c>
      <c r="H69" s="246">
        <f>IF(AND(C69&lt;&gt;"",E69&lt;&gt;"Full Refresher"),'G2 MT Reading Scoresheet'!$R71/6,"")</f>
        <v/>
      </c>
      <c r="I69" s="210">
        <f>IF(AND(D69&lt;&gt;"",F69&lt;&gt;"Full Refresher"),'G2 MT Reading Scoresheet'!$P71,"")</f>
        <v/>
      </c>
      <c r="J69" s="250">
        <f>'G2 MT Reading Scoresheet'!$U71</f>
        <v/>
      </c>
      <c r="K69" s="57">
        <f>'G2 FIL Reading Scoresheet'!$J71</f>
        <v/>
      </c>
      <c r="L69" s="248">
        <f>IF($C69&lt;&gt;"",'G2 FIL Reading Scoresheet'!$I71/30,"")</f>
        <v/>
      </c>
      <c r="M69" s="248">
        <f>IF(AND($C69&lt;&gt;"",$K69&lt;&gt;"Full Refresher"),'G2 FIL Reading Scoresheet'!$Q71,"")</f>
        <v/>
      </c>
      <c r="N69" s="248">
        <f>IF(AND($C69&lt;&gt;"",K69&lt;&gt;"Full Refresher"),'G2 FIL Reading Scoresheet'!$R71/6,"")</f>
        <v/>
      </c>
      <c r="O69" s="57">
        <f>IF(AND(C69&lt;&gt;"",K69&lt;&gt;"Full Refresher"),'G2 FIL Reading Scoresheet'!$P71,"")</f>
        <v/>
      </c>
      <c r="P69" s="251">
        <f>'G2 FIL Reading Scoresheet'!$U71</f>
        <v/>
      </c>
      <c r="Q69" s="52">
        <f>CONCATENATE(IF(ISBLANK('G2 MT Reading Scoresheet'!V71),"",CONCATENATE("MT:",TRIM('G2 MT Reading Scoresheet'!V71)))," ",IF(ISBLANK('G2 FIL Reading Scoresheet'!V71),"",CONCATENATE("FIL:",TRIM('G2 FIL Reading Scoresheet'!V71))))</f>
        <v/>
      </c>
    </row>
    <row r="70">
      <c r="A70" s="44">
        <f>A69+1</f>
        <v/>
      </c>
      <c r="B70" s="45">
        <f>IF('G2 MT Reading Scoresheet'!B72&lt;&gt;"",'G2 MT Reading Scoresheet'!B72,"")</f>
        <v/>
      </c>
      <c r="C70" s="46">
        <f>IF('G2 MT Reading Scoresheet'!C72&lt;&gt;"",'G2 MT Reading Scoresheet'!C72,"")</f>
        <v/>
      </c>
      <c r="D70" s="47">
        <f>IF('G2 MT Reading Scoresheet'!D72&lt;&gt;"",'G2 MT Reading Scoresheet'!D72,"")</f>
        <v/>
      </c>
      <c r="E70" s="210">
        <f>'G2 MT Reading Scoresheet'!$J72</f>
        <v/>
      </c>
      <c r="F70" s="246">
        <f>IF(C70&lt;&gt;"",'G2 MT Reading Scoresheet'!$I72/30,"")</f>
        <v/>
      </c>
      <c r="G70" s="246">
        <f>IF(AND($C70&lt;&gt;"",$E70&lt;&gt;"Full Refresher"),'G2 MT Reading Scoresheet'!$Q72,"")</f>
        <v/>
      </c>
      <c r="H70" s="246">
        <f>IF(AND(C70&lt;&gt;"",E70&lt;&gt;"Full Refresher"),'G2 MT Reading Scoresheet'!$R72/6,"")</f>
        <v/>
      </c>
      <c r="I70" s="210">
        <f>IF(AND(D70&lt;&gt;"",F70&lt;&gt;"Full Refresher"),'G2 MT Reading Scoresheet'!$P72,"")</f>
        <v/>
      </c>
      <c r="J70" s="250">
        <f>'G2 MT Reading Scoresheet'!$U72</f>
        <v/>
      </c>
      <c r="K70" s="57">
        <f>'G2 FIL Reading Scoresheet'!$J72</f>
        <v/>
      </c>
      <c r="L70" s="248">
        <f>IF($C70&lt;&gt;"",'G2 FIL Reading Scoresheet'!$I72/30,"")</f>
        <v/>
      </c>
      <c r="M70" s="248">
        <f>IF(AND($C70&lt;&gt;"",$K70&lt;&gt;"Full Refresher"),'G2 FIL Reading Scoresheet'!$Q72,"")</f>
        <v/>
      </c>
      <c r="N70" s="248">
        <f>IF(AND($C70&lt;&gt;"",K70&lt;&gt;"Full Refresher"),'G2 FIL Reading Scoresheet'!$R72/6,"")</f>
        <v/>
      </c>
      <c r="O70" s="57">
        <f>IF(AND(C70&lt;&gt;"",K70&lt;&gt;"Full Refresher"),'G2 FIL Reading Scoresheet'!$P72,"")</f>
        <v/>
      </c>
      <c r="P70" s="251">
        <f>'G2 FIL Reading Scoresheet'!$U72</f>
        <v/>
      </c>
      <c r="Q70" s="48">
        <f>CONCATENATE(IF(ISBLANK('G2 MT Reading Scoresheet'!V72),"",CONCATENATE("MT:",TRIM('G2 MT Reading Scoresheet'!V72)))," ",IF(ISBLANK('G2 FIL Reading Scoresheet'!V72),"",CONCATENATE("FIL:",TRIM('G2 FIL Reading Scoresheet'!V72))))</f>
        <v/>
      </c>
    </row>
    <row r="71">
      <c r="A71" s="43">
        <f>A70+1</f>
        <v/>
      </c>
      <c r="B71" s="49">
        <f>IF('G2 MT Reading Scoresheet'!B73&lt;&gt;"",'G2 MT Reading Scoresheet'!B73,"")</f>
        <v/>
      </c>
      <c r="C71" s="50">
        <f>IF('G2 MT Reading Scoresheet'!C73&lt;&gt;"",'G2 MT Reading Scoresheet'!C73,"")</f>
        <v/>
      </c>
      <c r="D71" s="51">
        <f>IF('G2 MT Reading Scoresheet'!D73&lt;&gt;"",'G2 MT Reading Scoresheet'!D73,"")</f>
        <v/>
      </c>
      <c r="E71" s="210">
        <f>'G2 MT Reading Scoresheet'!$J73</f>
        <v/>
      </c>
      <c r="F71" s="246">
        <f>IF(C71&lt;&gt;"",'G2 MT Reading Scoresheet'!$I73/30,"")</f>
        <v/>
      </c>
      <c r="G71" s="246">
        <f>IF(AND($C71&lt;&gt;"",$E71&lt;&gt;"Full Refresher"),'G2 MT Reading Scoresheet'!$Q73,"")</f>
        <v/>
      </c>
      <c r="H71" s="246">
        <f>IF(AND(C71&lt;&gt;"",E71&lt;&gt;"Full Refresher"),'G2 MT Reading Scoresheet'!$R73/6,"")</f>
        <v/>
      </c>
      <c r="I71" s="210">
        <f>IF(AND(D71&lt;&gt;"",F71&lt;&gt;"Full Refresher"),'G2 MT Reading Scoresheet'!$P73,"")</f>
        <v/>
      </c>
      <c r="J71" s="250">
        <f>'G2 MT Reading Scoresheet'!$U73</f>
        <v/>
      </c>
      <c r="K71" s="57">
        <f>'G2 FIL Reading Scoresheet'!$J73</f>
        <v/>
      </c>
      <c r="L71" s="248">
        <f>IF($C71&lt;&gt;"",'G2 FIL Reading Scoresheet'!$I73/30,"")</f>
        <v/>
      </c>
      <c r="M71" s="248">
        <f>IF(AND($C71&lt;&gt;"",$K71&lt;&gt;"Full Refresher"),'G2 FIL Reading Scoresheet'!$Q73,"")</f>
        <v/>
      </c>
      <c r="N71" s="248">
        <f>IF(AND($C71&lt;&gt;"",K71&lt;&gt;"Full Refresher"),'G2 FIL Reading Scoresheet'!$R73/6,"")</f>
        <v/>
      </c>
      <c r="O71" s="57">
        <f>IF(AND(C71&lt;&gt;"",K71&lt;&gt;"Full Refresher"),'G2 FIL Reading Scoresheet'!$P73,"")</f>
        <v/>
      </c>
      <c r="P71" s="251">
        <f>'G2 FIL Reading Scoresheet'!$U73</f>
        <v/>
      </c>
      <c r="Q71" s="52">
        <f>CONCATENATE(IF(ISBLANK('G2 MT Reading Scoresheet'!V73),"",CONCATENATE("MT:",TRIM('G2 MT Reading Scoresheet'!V73)))," ",IF(ISBLANK('G2 FIL Reading Scoresheet'!V73),"",CONCATENATE("FIL:",TRIM('G2 FIL Reading Scoresheet'!V73))))</f>
        <v/>
      </c>
    </row>
    <row r="72">
      <c r="A72" s="44">
        <f>A71+1</f>
        <v/>
      </c>
      <c r="B72" s="45">
        <f>IF('G2 MT Reading Scoresheet'!B74&lt;&gt;"",'G2 MT Reading Scoresheet'!B74,"")</f>
        <v/>
      </c>
      <c r="C72" s="46">
        <f>IF('G2 MT Reading Scoresheet'!C74&lt;&gt;"",'G2 MT Reading Scoresheet'!C74,"")</f>
        <v/>
      </c>
      <c r="D72" s="47">
        <f>IF('G2 MT Reading Scoresheet'!D74&lt;&gt;"",'G2 MT Reading Scoresheet'!D74,"")</f>
        <v/>
      </c>
      <c r="E72" s="210">
        <f>'G2 MT Reading Scoresheet'!$J74</f>
        <v/>
      </c>
      <c r="F72" s="246">
        <f>IF(C72&lt;&gt;"",'G2 MT Reading Scoresheet'!$I74/30,"")</f>
        <v/>
      </c>
      <c r="G72" s="246">
        <f>IF(AND($C72&lt;&gt;"",$E72&lt;&gt;"Full Refresher"),'G2 MT Reading Scoresheet'!$Q74,"")</f>
        <v/>
      </c>
      <c r="H72" s="246">
        <f>IF(AND(C72&lt;&gt;"",E72&lt;&gt;"Full Refresher"),'G2 MT Reading Scoresheet'!$R74/6,"")</f>
        <v/>
      </c>
      <c r="I72" s="210">
        <f>IF(AND(D72&lt;&gt;"",F72&lt;&gt;"Full Refresher"),'G2 MT Reading Scoresheet'!$P74,"")</f>
        <v/>
      </c>
      <c r="J72" s="250">
        <f>'G2 MT Reading Scoresheet'!$U74</f>
        <v/>
      </c>
      <c r="K72" s="57">
        <f>'G2 FIL Reading Scoresheet'!$J74</f>
        <v/>
      </c>
      <c r="L72" s="248">
        <f>IF($C72&lt;&gt;"",'G2 FIL Reading Scoresheet'!$I74/30,"")</f>
        <v/>
      </c>
      <c r="M72" s="248">
        <f>IF(AND($C72&lt;&gt;"",$K72&lt;&gt;"Full Refresher"),'G2 FIL Reading Scoresheet'!$Q74,"")</f>
        <v/>
      </c>
      <c r="N72" s="248">
        <f>IF(AND($C72&lt;&gt;"",K72&lt;&gt;"Full Refresher"),'G2 FIL Reading Scoresheet'!$R74/6,"")</f>
        <v/>
      </c>
      <c r="O72" s="57">
        <f>IF(AND(C72&lt;&gt;"",K72&lt;&gt;"Full Refresher"),'G2 FIL Reading Scoresheet'!$P74,"")</f>
        <v/>
      </c>
      <c r="P72" s="251">
        <f>'G2 FIL Reading Scoresheet'!$U74</f>
        <v/>
      </c>
      <c r="Q72" s="48">
        <f>CONCATENATE(IF(ISBLANK('G2 MT Reading Scoresheet'!V74),"",CONCATENATE("MT:",TRIM('G2 MT Reading Scoresheet'!V74)))," ",IF(ISBLANK('G2 FIL Reading Scoresheet'!V74),"",CONCATENATE("FIL:",TRIM('G2 FIL Reading Scoresheet'!V74))))</f>
        <v/>
      </c>
    </row>
    <row r="73">
      <c r="A73" s="43">
        <f>A72+1</f>
        <v/>
      </c>
      <c r="B73" s="49">
        <f>IF('G2 MT Reading Scoresheet'!B75&lt;&gt;"",'G2 MT Reading Scoresheet'!B75,"")</f>
        <v/>
      </c>
      <c r="C73" s="50">
        <f>IF('G2 MT Reading Scoresheet'!C75&lt;&gt;"",'G2 MT Reading Scoresheet'!C75,"")</f>
        <v/>
      </c>
      <c r="D73" s="51">
        <f>IF('G2 MT Reading Scoresheet'!D75&lt;&gt;"",'G2 MT Reading Scoresheet'!D75,"")</f>
        <v/>
      </c>
      <c r="E73" s="210">
        <f>'G2 MT Reading Scoresheet'!$J75</f>
        <v/>
      </c>
      <c r="F73" s="246">
        <f>IF(C73&lt;&gt;"",'G2 MT Reading Scoresheet'!$I75/30,"")</f>
        <v/>
      </c>
      <c r="G73" s="246">
        <f>IF(AND($C73&lt;&gt;"",$E73&lt;&gt;"Full Refresher"),'G2 MT Reading Scoresheet'!$Q75,"")</f>
        <v/>
      </c>
      <c r="H73" s="246">
        <f>IF(AND(C73&lt;&gt;"",E73&lt;&gt;"Full Refresher"),'G2 MT Reading Scoresheet'!$R75/6,"")</f>
        <v/>
      </c>
      <c r="I73" s="210">
        <f>IF(AND(D73&lt;&gt;"",F73&lt;&gt;"Full Refresher"),'G2 MT Reading Scoresheet'!$P75,"")</f>
        <v/>
      </c>
      <c r="J73" s="250">
        <f>'G2 MT Reading Scoresheet'!$U75</f>
        <v/>
      </c>
      <c r="K73" s="57">
        <f>'G2 FIL Reading Scoresheet'!$J75</f>
        <v/>
      </c>
      <c r="L73" s="248">
        <f>IF($C73&lt;&gt;"",'G2 FIL Reading Scoresheet'!$I75/30,"")</f>
        <v/>
      </c>
      <c r="M73" s="248">
        <f>IF(AND($C73&lt;&gt;"",$K73&lt;&gt;"Full Refresher"),'G2 FIL Reading Scoresheet'!$Q75,"")</f>
        <v/>
      </c>
      <c r="N73" s="248">
        <f>IF(AND($C73&lt;&gt;"",K73&lt;&gt;"Full Refresher"),'G2 FIL Reading Scoresheet'!$R75/6,"")</f>
        <v/>
      </c>
      <c r="O73" s="57">
        <f>IF(AND(C73&lt;&gt;"",K73&lt;&gt;"Full Refresher"),'G2 FIL Reading Scoresheet'!$P75,"")</f>
        <v/>
      </c>
      <c r="P73" s="251">
        <f>'G2 FIL Reading Scoresheet'!$U75</f>
        <v/>
      </c>
      <c r="Q73" s="52">
        <f>CONCATENATE(IF(ISBLANK('G2 MT Reading Scoresheet'!V75),"",CONCATENATE("MT:",TRIM('G2 MT Reading Scoresheet'!V75)))," ",IF(ISBLANK('G2 FIL Reading Scoresheet'!V75),"",CONCATENATE("FIL:",TRIM('G2 FIL Reading Scoresheet'!V75))))</f>
        <v/>
      </c>
    </row>
    <row r="74">
      <c r="A74" s="44">
        <f>A73+1</f>
        <v/>
      </c>
      <c r="B74" s="45">
        <f>IF('G2 MT Reading Scoresheet'!B76&lt;&gt;"",'G2 MT Reading Scoresheet'!B76,"")</f>
        <v/>
      </c>
      <c r="C74" s="46">
        <f>IF('G2 MT Reading Scoresheet'!C76&lt;&gt;"",'G2 MT Reading Scoresheet'!C76,"")</f>
        <v/>
      </c>
      <c r="D74" s="47">
        <f>IF('G2 MT Reading Scoresheet'!D76&lt;&gt;"",'G2 MT Reading Scoresheet'!D76,"")</f>
        <v/>
      </c>
      <c r="E74" s="210">
        <f>'G2 MT Reading Scoresheet'!$J76</f>
        <v/>
      </c>
      <c r="F74" s="246">
        <f>IF(C74&lt;&gt;"",'G2 MT Reading Scoresheet'!$I76/30,"")</f>
        <v/>
      </c>
      <c r="G74" s="246">
        <f>IF(AND($C74&lt;&gt;"",$E74&lt;&gt;"Full Refresher"),'G2 MT Reading Scoresheet'!$Q76,"")</f>
        <v/>
      </c>
      <c r="H74" s="246">
        <f>IF(AND(C74&lt;&gt;"",E74&lt;&gt;"Full Refresher"),'G2 MT Reading Scoresheet'!$R76/6,"")</f>
        <v/>
      </c>
      <c r="I74" s="210">
        <f>IF(AND(D74&lt;&gt;"",F74&lt;&gt;"Full Refresher"),'G2 MT Reading Scoresheet'!$P76,"")</f>
        <v/>
      </c>
      <c r="J74" s="250">
        <f>'G2 MT Reading Scoresheet'!$U76</f>
        <v/>
      </c>
      <c r="K74" s="57">
        <f>'G2 FIL Reading Scoresheet'!$J76</f>
        <v/>
      </c>
      <c r="L74" s="248">
        <f>IF($C74&lt;&gt;"",'G2 FIL Reading Scoresheet'!$I76/30,"")</f>
        <v/>
      </c>
      <c r="M74" s="248">
        <f>IF(AND($C74&lt;&gt;"",$K74&lt;&gt;"Full Refresher"),'G2 FIL Reading Scoresheet'!$Q76,"")</f>
        <v/>
      </c>
      <c r="N74" s="248">
        <f>IF(AND($C74&lt;&gt;"",K74&lt;&gt;"Full Refresher"),'G2 FIL Reading Scoresheet'!$R76/6,"")</f>
        <v/>
      </c>
      <c r="O74" s="57">
        <f>IF(AND(C74&lt;&gt;"",K74&lt;&gt;"Full Refresher"),'G2 FIL Reading Scoresheet'!$P76,"")</f>
        <v/>
      </c>
      <c r="P74" s="251">
        <f>'G2 FIL Reading Scoresheet'!$U76</f>
        <v/>
      </c>
      <c r="Q74" s="48">
        <f>CONCATENATE(IF(ISBLANK('G2 MT Reading Scoresheet'!V76),"",CONCATENATE("MT:",TRIM('G2 MT Reading Scoresheet'!V76)))," ",IF(ISBLANK('G2 FIL Reading Scoresheet'!V76),"",CONCATENATE("FIL:",TRIM('G2 FIL Reading Scoresheet'!V76))))</f>
        <v/>
      </c>
    </row>
    <row r="75">
      <c r="A75" s="43">
        <f>A74+1</f>
        <v/>
      </c>
      <c r="B75" s="49">
        <f>IF('G2 MT Reading Scoresheet'!B77&lt;&gt;"",'G2 MT Reading Scoresheet'!B77,"")</f>
        <v/>
      </c>
      <c r="C75" s="50">
        <f>IF('G2 MT Reading Scoresheet'!C77&lt;&gt;"",'G2 MT Reading Scoresheet'!C77,"")</f>
        <v/>
      </c>
      <c r="D75" s="51">
        <f>IF('G2 MT Reading Scoresheet'!D77&lt;&gt;"",'G2 MT Reading Scoresheet'!D77,"")</f>
        <v/>
      </c>
      <c r="E75" s="210">
        <f>'G2 MT Reading Scoresheet'!$J77</f>
        <v/>
      </c>
      <c r="F75" s="246">
        <f>IF(C75&lt;&gt;"",'G2 MT Reading Scoresheet'!$I77/30,"")</f>
        <v/>
      </c>
      <c r="G75" s="246">
        <f>IF(AND($C75&lt;&gt;"",$E75&lt;&gt;"Full Refresher"),'G2 MT Reading Scoresheet'!$Q77,"")</f>
        <v/>
      </c>
      <c r="H75" s="246">
        <f>IF(AND(C75&lt;&gt;"",E75&lt;&gt;"Full Refresher"),'G2 MT Reading Scoresheet'!$R77/6,"")</f>
        <v/>
      </c>
      <c r="I75" s="210">
        <f>IF(AND(D75&lt;&gt;"",F75&lt;&gt;"Full Refresher"),'G2 MT Reading Scoresheet'!$P77,"")</f>
        <v/>
      </c>
      <c r="J75" s="250">
        <f>'G2 MT Reading Scoresheet'!$U77</f>
        <v/>
      </c>
      <c r="K75" s="57">
        <f>'G2 FIL Reading Scoresheet'!$J77</f>
        <v/>
      </c>
      <c r="L75" s="248">
        <f>IF($C75&lt;&gt;"",'G2 FIL Reading Scoresheet'!$I77/30,"")</f>
        <v/>
      </c>
      <c r="M75" s="248">
        <f>IF(AND($C75&lt;&gt;"",$K75&lt;&gt;"Full Refresher"),'G2 FIL Reading Scoresheet'!$Q77,"")</f>
        <v/>
      </c>
      <c r="N75" s="248">
        <f>IF(AND($C75&lt;&gt;"",K75&lt;&gt;"Full Refresher"),'G2 FIL Reading Scoresheet'!$R77/6,"")</f>
        <v/>
      </c>
      <c r="O75" s="57">
        <f>IF(AND(C75&lt;&gt;"",K75&lt;&gt;"Full Refresher"),'G2 FIL Reading Scoresheet'!$P77,"")</f>
        <v/>
      </c>
      <c r="P75" s="251">
        <f>'G2 FIL Reading Scoresheet'!$U77</f>
        <v/>
      </c>
      <c r="Q75" s="52">
        <f>CONCATENATE(IF(ISBLANK('G2 MT Reading Scoresheet'!V77),"",CONCATENATE("MT:",TRIM('G2 MT Reading Scoresheet'!V77)))," ",IF(ISBLANK('G2 FIL Reading Scoresheet'!V77),"",CONCATENATE("FIL:",TRIM('G2 FIL Reading Scoresheet'!V77))))</f>
        <v/>
      </c>
    </row>
    <row r="76">
      <c r="A76" s="44">
        <f>A75+1</f>
        <v/>
      </c>
      <c r="B76" s="45">
        <f>IF('G2 MT Reading Scoresheet'!B78&lt;&gt;"",'G2 MT Reading Scoresheet'!B78,"")</f>
        <v/>
      </c>
      <c r="C76" s="46">
        <f>IF('G2 MT Reading Scoresheet'!C78&lt;&gt;"",'G2 MT Reading Scoresheet'!C78,"")</f>
        <v/>
      </c>
      <c r="D76" s="47">
        <f>IF('G2 MT Reading Scoresheet'!D78&lt;&gt;"",'G2 MT Reading Scoresheet'!D78,"")</f>
        <v/>
      </c>
      <c r="E76" s="210">
        <f>'G2 MT Reading Scoresheet'!$J78</f>
        <v/>
      </c>
      <c r="F76" s="246">
        <f>IF(C76&lt;&gt;"",'G2 MT Reading Scoresheet'!$I78/30,"")</f>
        <v/>
      </c>
      <c r="G76" s="246">
        <f>IF(AND($C76&lt;&gt;"",$E76&lt;&gt;"Full Refresher"),'G2 MT Reading Scoresheet'!$Q78,"")</f>
        <v/>
      </c>
      <c r="H76" s="246">
        <f>IF(AND(C76&lt;&gt;"",E76&lt;&gt;"Full Refresher"),'G2 MT Reading Scoresheet'!$R78/6,"")</f>
        <v/>
      </c>
      <c r="I76" s="210">
        <f>IF(AND(D76&lt;&gt;"",F76&lt;&gt;"Full Refresher"),'G2 MT Reading Scoresheet'!$P78,"")</f>
        <v/>
      </c>
      <c r="J76" s="250">
        <f>'G2 MT Reading Scoresheet'!$U78</f>
        <v/>
      </c>
      <c r="K76" s="57">
        <f>'G2 FIL Reading Scoresheet'!$J78</f>
        <v/>
      </c>
      <c r="L76" s="248">
        <f>IF($C76&lt;&gt;"",'G2 FIL Reading Scoresheet'!$I78/30,"")</f>
        <v/>
      </c>
      <c r="M76" s="248">
        <f>IF(AND($C76&lt;&gt;"",$K76&lt;&gt;"Full Refresher"),'G2 FIL Reading Scoresheet'!$Q78,"")</f>
        <v/>
      </c>
      <c r="N76" s="248">
        <f>IF(AND($C76&lt;&gt;"",K76&lt;&gt;"Full Refresher"),'G2 FIL Reading Scoresheet'!$R78/6,"")</f>
        <v/>
      </c>
      <c r="O76" s="57">
        <f>IF(AND(C76&lt;&gt;"",K76&lt;&gt;"Full Refresher"),'G2 FIL Reading Scoresheet'!$P78,"")</f>
        <v/>
      </c>
      <c r="P76" s="251">
        <f>'G2 FIL Reading Scoresheet'!$U78</f>
        <v/>
      </c>
      <c r="Q76" s="48">
        <f>CONCATENATE(IF(ISBLANK('G2 MT Reading Scoresheet'!V78),"",CONCATENATE("MT:",TRIM('G2 MT Reading Scoresheet'!V78)))," ",IF(ISBLANK('G2 FIL Reading Scoresheet'!V78),"",CONCATENATE("FIL:",TRIM('G2 FIL Reading Scoresheet'!V78))))</f>
        <v/>
      </c>
    </row>
    <row r="77">
      <c r="A77" s="43">
        <f>A76+1</f>
        <v/>
      </c>
      <c r="B77" s="49">
        <f>IF('G2 MT Reading Scoresheet'!B79&lt;&gt;"",'G2 MT Reading Scoresheet'!B79,"")</f>
        <v/>
      </c>
      <c r="C77" s="50">
        <f>IF('G2 MT Reading Scoresheet'!C79&lt;&gt;"",'G2 MT Reading Scoresheet'!C79,"")</f>
        <v/>
      </c>
      <c r="D77" s="51">
        <f>IF('G2 MT Reading Scoresheet'!D79&lt;&gt;"",'G2 MT Reading Scoresheet'!D79,"")</f>
        <v/>
      </c>
      <c r="E77" s="210">
        <f>'G2 MT Reading Scoresheet'!$J79</f>
        <v/>
      </c>
      <c r="F77" s="246">
        <f>IF(C77&lt;&gt;"",'G2 MT Reading Scoresheet'!$I79/30,"")</f>
        <v/>
      </c>
      <c r="G77" s="246">
        <f>IF(AND($C77&lt;&gt;"",$E77&lt;&gt;"Full Refresher"),'G2 MT Reading Scoresheet'!$Q79,"")</f>
        <v/>
      </c>
      <c r="H77" s="246">
        <f>IF(AND(C77&lt;&gt;"",E77&lt;&gt;"Full Refresher"),'G2 MT Reading Scoresheet'!$R79/6,"")</f>
        <v/>
      </c>
      <c r="I77" s="210">
        <f>IF(AND(D77&lt;&gt;"",F77&lt;&gt;"Full Refresher"),'G2 MT Reading Scoresheet'!$P79,"")</f>
        <v/>
      </c>
      <c r="J77" s="250">
        <f>'G2 MT Reading Scoresheet'!$U79</f>
        <v/>
      </c>
      <c r="K77" s="57">
        <f>'G2 FIL Reading Scoresheet'!$J79</f>
        <v/>
      </c>
      <c r="L77" s="248">
        <f>IF($C77&lt;&gt;"",'G2 FIL Reading Scoresheet'!$I79/30,"")</f>
        <v/>
      </c>
      <c r="M77" s="248">
        <f>IF(AND($C77&lt;&gt;"",$K77&lt;&gt;"Full Refresher"),'G2 FIL Reading Scoresheet'!$Q79,"")</f>
        <v/>
      </c>
      <c r="N77" s="248">
        <f>IF(AND($C77&lt;&gt;"",K77&lt;&gt;"Full Refresher"),'G2 FIL Reading Scoresheet'!$R79/6,"")</f>
        <v/>
      </c>
      <c r="O77" s="57">
        <f>IF(AND(C77&lt;&gt;"",K77&lt;&gt;"Full Refresher"),'G2 FIL Reading Scoresheet'!$P79,"")</f>
        <v/>
      </c>
      <c r="P77" s="251">
        <f>'G2 FIL Reading Scoresheet'!$U79</f>
        <v/>
      </c>
      <c r="Q77" s="52">
        <f>CONCATENATE(IF(ISBLANK('G2 MT Reading Scoresheet'!V79),"",CONCATENATE("MT:",TRIM('G2 MT Reading Scoresheet'!V79)))," ",IF(ISBLANK('G2 FIL Reading Scoresheet'!V79),"",CONCATENATE("FIL:",TRIM('G2 FIL Reading Scoresheet'!V79))))</f>
        <v/>
      </c>
    </row>
    <row r="78">
      <c r="A78" s="44">
        <f>A77+1</f>
        <v/>
      </c>
      <c r="B78" s="45">
        <f>IF('G2 MT Reading Scoresheet'!B80&lt;&gt;"",'G2 MT Reading Scoresheet'!B80,"")</f>
        <v/>
      </c>
      <c r="C78" s="46">
        <f>IF('G2 MT Reading Scoresheet'!C80&lt;&gt;"",'G2 MT Reading Scoresheet'!C80,"")</f>
        <v/>
      </c>
      <c r="D78" s="47">
        <f>IF('G2 MT Reading Scoresheet'!D80&lt;&gt;"",'G2 MT Reading Scoresheet'!D80,"")</f>
        <v/>
      </c>
      <c r="E78" s="210">
        <f>'G2 MT Reading Scoresheet'!$J80</f>
        <v/>
      </c>
      <c r="F78" s="246">
        <f>IF(C78&lt;&gt;"",'G2 MT Reading Scoresheet'!$I80/30,"")</f>
        <v/>
      </c>
      <c r="G78" s="246">
        <f>IF(AND($C78&lt;&gt;"",$E78&lt;&gt;"Full Refresher"),'G2 MT Reading Scoresheet'!$Q80,"")</f>
        <v/>
      </c>
      <c r="H78" s="246">
        <f>IF(AND(C78&lt;&gt;"",E78&lt;&gt;"Full Refresher"),'G2 MT Reading Scoresheet'!$R80/6,"")</f>
        <v/>
      </c>
      <c r="I78" s="210">
        <f>IF(AND(D78&lt;&gt;"",F78&lt;&gt;"Full Refresher"),'G2 MT Reading Scoresheet'!$P80,"")</f>
        <v/>
      </c>
      <c r="J78" s="250">
        <f>'G2 MT Reading Scoresheet'!$U80</f>
        <v/>
      </c>
      <c r="K78" s="57">
        <f>'G2 FIL Reading Scoresheet'!$J80</f>
        <v/>
      </c>
      <c r="L78" s="248">
        <f>IF($C78&lt;&gt;"",'G2 FIL Reading Scoresheet'!$I80/30,"")</f>
        <v/>
      </c>
      <c r="M78" s="248">
        <f>IF(AND($C78&lt;&gt;"",$K78&lt;&gt;"Full Refresher"),'G2 FIL Reading Scoresheet'!$Q80,"")</f>
        <v/>
      </c>
      <c r="N78" s="248">
        <f>IF(AND($C78&lt;&gt;"",K78&lt;&gt;"Full Refresher"),'G2 FIL Reading Scoresheet'!$R80/6,"")</f>
        <v/>
      </c>
      <c r="O78" s="57">
        <f>IF(AND(C78&lt;&gt;"",K78&lt;&gt;"Full Refresher"),'G2 FIL Reading Scoresheet'!$P80,"")</f>
        <v/>
      </c>
      <c r="P78" s="251">
        <f>'G2 FIL Reading Scoresheet'!$U80</f>
        <v/>
      </c>
      <c r="Q78" s="48">
        <f>CONCATENATE(IF(ISBLANK('G2 MT Reading Scoresheet'!V80),"",CONCATENATE("MT:",TRIM('G2 MT Reading Scoresheet'!V80)))," ",IF(ISBLANK('G2 FIL Reading Scoresheet'!V80),"",CONCATENATE("FIL:",TRIM('G2 FIL Reading Scoresheet'!V80))))</f>
        <v/>
      </c>
    </row>
    <row r="79">
      <c r="A79" s="43">
        <f>A78+1</f>
        <v/>
      </c>
      <c r="B79" s="49">
        <f>IF('G2 MT Reading Scoresheet'!B81&lt;&gt;"",'G2 MT Reading Scoresheet'!B81,"")</f>
        <v/>
      </c>
      <c r="C79" s="50">
        <f>IF('G2 MT Reading Scoresheet'!C81&lt;&gt;"",'G2 MT Reading Scoresheet'!C81,"")</f>
        <v/>
      </c>
      <c r="D79" s="51">
        <f>IF('G2 MT Reading Scoresheet'!D81&lt;&gt;"",'G2 MT Reading Scoresheet'!D81,"")</f>
        <v/>
      </c>
      <c r="E79" s="210">
        <f>'G2 MT Reading Scoresheet'!$J81</f>
        <v/>
      </c>
      <c r="F79" s="246">
        <f>IF(C79&lt;&gt;"",'G2 MT Reading Scoresheet'!$I81/30,"")</f>
        <v/>
      </c>
      <c r="G79" s="246">
        <f>IF(AND($C79&lt;&gt;"",$E79&lt;&gt;"Full Refresher"),'G2 MT Reading Scoresheet'!$Q81,"")</f>
        <v/>
      </c>
      <c r="H79" s="246">
        <f>IF(AND(C79&lt;&gt;"",E79&lt;&gt;"Full Refresher"),'G2 MT Reading Scoresheet'!$R81/6,"")</f>
        <v/>
      </c>
      <c r="I79" s="210">
        <f>IF(AND(D79&lt;&gt;"",F79&lt;&gt;"Full Refresher"),'G2 MT Reading Scoresheet'!$P81,"")</f>
        <v/>
      </c>
      <c r="J79" s="250">
        <f>'G2 MT Reading Scoresheet'!$U81</f>
        <v/>
      </c>
      <c r="K79" s="57">
        <f>'G2 FIL Reading Scoresheet'!$J81</f>
        <v/>
      </c>
      <c r="L79" s="248">
        <f>IF($C79&lt;&gt;"",'G2 FIL Reading Scoresheet'!$I81/30,"")</f>
        <v/>
      </c>
      <c r="M79" s="248">
        <f>IF(AND($C79&lt;&gt;"",$K79&lt;&gt;"Full Refresher"),'G2 FIL Reading Scoresheet'!$Q81,"")</f>
        <v/>
      </c>
      <c r="N79" s="248">
        <f>IF(AND($C79&lt;&gt;"",K79&lt;&gt;"Full Refresher"),'G2 FIL Reading Scoresheet'!$R81/6,"")</f>
        <v/>
      </c>
      <c r="O79" s="57">
        <f>IF(AND(C79&lt;&gt;"",K79&lt;&gt;"Full Refresher"),'G2 FIL Reading Scoresheet'!$P81,"")</f>
        <v/>
      </c>
      <c r="P79" s="251">
        <f>'G2 FIL Reading Scoresheet'!$U81</f>
        <v/>
      </c>
      <c r="Q79" s="52">
        <f>CONCATENATE(IF(ISBLANK('G2 MT Reading Scoresheet'!V81),"",CONCATENATE("MT:",TRIM('G2 MT Reading Scoresheet'!V81)))," ",IF(ISBLANK('G2 FIL Reading Scoresheet'!V81),"",CONCATENATE("FIL:",TRIM('G2 FIL Reading Scoresheet'!V81))))</f>
        <v/>
      </c>
    </row>
    <row r="80">
      <c r="A80" s="44">
        <f>A79+1</f>
        <v/>
      </c>
      <c r="B80" s="45">
        <f>IF('G2 MT Reading Scoresheet'!B82&lt;&gt;"",'G2 MT Reading Scoresheet'!B82,"")</f>
        <v/>
      </c>
      <c r="C80" s="46">
        <f>IF('G2 MT Reading Scoresheet'!C82&lt;&gt;"",'G2 MT Reading Scoresheet'!C82,"")</f>
        <v/>
      </c>
      <c r="D80" s="47">
        <f>IF('G2 MT Reading Scoresheet'!D82&lt;&gt;"",'G2 MT Reading Scoresheet'!D82,"")</f>
        <v/>
      </c>
      <c r="E80" s="210">
        <f>'G2 MT Reading Scoresheet'!$J82</f>
        <v/>
      </c>
      <c r="F80" s="246">
        <f>IF(C80&lt;&gt;"",'G2 MT Reading Scoresheet'!$I82/30,"")</f>
        <v/>
      </c>
      <c r="G80" s="246">
        <f>IF(AND($C80&lt;&gt;"",$E80&lt;&gt;"Full Refresher"),'G2 MT Reading Scoresheet'!$Q82,"")</f>
        <v/>
      </c>
      <c r="H80" s="246">
        <f>IF(AND(C80&lt;&gt;"",E80&lt;&gt;"Full Refresher"),'G2 MT Reading Scoresheet'!$R82/6,"")</f>
        <v/>
      </c>
      <c r="I80" s="210">
        <f>IF(AND(D80&lt;&gt;"",F80&lt;&gt;"Full Refresher"),'G2 MT Reading Scoresheet'!$P82,"")</f>
        <v/>
      </c>
      <c r="J80" s="250">
        <f>'G2 MT Reading Scoresheet'!$U82</f>
        <v/>
      </c>
      <c r="K80" s="57">
        <f>'G2 FIL Reading Scoresheet'!$J82</f>
        <v/>
      </c>
      <c r="L80" s="248">
        <f>IF($C80&lt;&gt;"",'G2 FIL Reading Scoresheet'!$I82/30,"")</f>
        <v/>
      </c>
      <c r="M80" s="248">
        <f>IF(AND($C80&lt;&gt;"",$K80&lt;&gt;"Full Refresher"),'G2 FIL Reading Scoresheet'!$Q82,"")</f>
        <v/>
      </c>
      <c r="N80" s="248">
        <f>IF(AND($C80&lt;&gt;"",K80&lt;&gt;"Full Refresher"),'G2 FIL Reading Scoresheet'!$R82/6,"")</f>
        <v/>
      </c>
      <c r="O80" s="57">
        <f>IF(AND(C80&lt;&gt;"",K80&lt;&gt;"Full Refresher"),'G2 FIL Reading Scoresheet'!$P82,"")</f>
        <v/>
      </c>
      <c r="P80" s="251">
        <f>'G2 FIL Reading Scoresheet'!$U82</f>
        <v/>
      </c>
      <c r="Q80" s="48">
        <f>CONCATENATE(IF(ISBLANK('G2 MT Reading Scoresheet'!V82),"",CONCATENATE("MT:",TRIM('G2 MT Reading Scoresheet'!V82)))," ",IF(ISBLANK('G2 FIL Reading Scoresheet'!V82),"",CONCATENATE("FIL:",TRIM('G2 FIL Reading Scoresheet'!V82))))</f>
        <v/>
      </c>
    </row>
    <row r="81">
      <c r="A81" s="43">
        <f>A80+1</f>
        <v/>
      </c>
      <c r="B81" s="49">
        <f>IF('G2 MT Reading Scoresheet'!B83&lt;&gt;"",'G2 MT Reading Scoresheet'!B83,"")</f>
        <v/>
      </c>
      <c r="C81" s="50">
        <f>IF('G2 MT Reading Scoresheet'!C83&lt;&gt;"",'G2 MT Reading Scoresheet'!C83,"")</f>
        <v/>
      </c>
      <c r="D81" s="51">
        <f>IF('G2 MT Reading Scoresheet'!D83&lt;&gt;"",'G2 MT Reading Scoresheet'!D83,"")</f>
        <v/>
      </c>
      <c r="E81" s="210">
        <f>'G2 MT Reading Scoresheet'!$J83</f>
        <v/>
      </c>
      <c r="F81" s="246">
        <f>IF(C81&lt;&gt;"",'G2 MT Reading Scoresheet'!$I83/30,"")</f>
        <v/>
      </c>
      <c r="G81" s="246">
        <f>IF(AND($C81&lt;&gt;"",$E81&lt;&gt;"Full Refresher"),'G2 MT Reading Scoresheet'!$Q83,"")</f>
        <v/>
      </c>
      <c r="H81" s="246">
        <f>IF(AND(C81&lt;&gt;"",E81&lt;&gt;"Full Refresher"),'G2 MT Reading Scoresheet'!$R83/6,"")</f>
        <v/>
      </c>
      <c r="I81" s="210">
        <f>IF(AND(D81&lt;&gt;"",F81&lt;&gt;"Full Refresher"),'G2 MT Reading Scoresheet'!$P83,"")</f>
        <v/>
      </c>
      <c r="J81" s="250">
        <f>'G2 MT Reading Scoresheet'!$U83</f>
        <v/>
      </c>
      <c r="K81" s="57">
        <f>'G2 FIL Reading Scoresheet'!$J83</f>
        <v/>
      </c>
      <c r="L81" s="248">
        <f>IF($C81&lt;&gt;"",'G2 FIL Reading Scoresheet'!$I83/30,"")</f>
        <v/>
      </c>
      <c r="M81" s="248">
        <f>IF(AND($C81&lt;&gt;"",$K81&lt;&gt;"Full Refresher"),'G2 FIL Reading Scoresheet'!$Q83,"")</f>
        <v/>
      </c>
      <c r="N81" s="248">
        <f>IF(AND($C81&lt;&gt;"",K81&lt;&gt;"Full Refresher"),'G2 FIL Reading Scoresheet'!$R83/6,"")</f>
        <v/>
      </c>
      <c r="O81" s="57">
        <f>IF(AND(C81&lt;&gt;"",K81&lt;&gt;"Full Refresher"),'G2 FIL Reading Scoresheet'!$P83,"")</f>
        <v/>
      </c>
      <c r="P81" s="251">
        <f>'G2 FIL Reading Scoresheet'!$U83</f>
        <v/>
      </c>
      <c r="Q81" s="52">
        <f>CONCATENATE(IF(ISBLANK('G2 MT Reading Scoresheet'!V83),"",CONCATENATE("MT:",TRIM('G2 MT Reading Scoresheet'!V83)))," ",IF(ISBLANK('G2 FIL Reading Scoresheet'!V83),"",CONCATENATE("FIL:",TRIM('G2 FIL Reading Scoresheet'!V83))))</f>
        <v/>
      </c>
    </row>
    <row r="82">
      <c r="A82" s="44">
        <f>A81+1</f>
        <v/>
      </c>
      <c r="B82" s="45">
        <f>IF('G2 MT Reading Scoresheet'!B84&lt;&gt;"",'G2 MT Reading Scoresheet'!B84,"")</f>
        <v/>
      </c>
      <c r="C82" s="46">
        <f>IF('G2 MT Reading Scoresheet'!C84&lt;&gt;"",'G2 MT Reading Scoresheet'!C84,"")</f>
        <v/>
      </c>
      <c r="D82" s="47">
        <f>IF('G2 MT Reading Scoresheet'!D84&lt;&gt;"",'G2 MT Reading Scoresheet'!D84,"")</f>
        <v/>
      </c>
      <c r="E82" s="210">
        <f>'G2 MT Reading Scoresheet'!$J84</f>
        <v/>
      </c>
      <c r="F82" s="246">
        <f>IF(C82&lt;&gt;"",'G2 MT Reading Scoresheet'!$I84/30,"")</f>
        <v/>
      </c>
      <c r="G82" s="246">
        <f>IF(AND($C82&lt;&gt;"",$E82&lt;&gt;"Full Refresher"),'G2 MT Reading Scoresheet'!$Q84,"")</f>
        <v/>
      </c>
      <c r="H82" s="246">
        <f>IF(AND(C82&lt;&gt;"",E82&lt;&gt;"Full Refresher"),'G2 MT Reading Scoresheet'!$R84/6,"")</f>
        <v/>
      </c>
      <c r="I82" s="210">
        <f>IF(AND(D82&lt;&gt;"",F82&lt;&gt;"Full Refresher"),'G2 MT Reading Scoresheet'!$P84,"")</f>
        <v/>
      </c>
      <c r="J82" s="250">
        <f>'G2 MT Reading Scoresheet'!$U84</f>
        <v/>
      </c>
      <c r="K82" s="57">
        <f>'G2 FIL Reading Scoresheet'!$J84</f>
        <v/>
      </c>
      <c r="L82" s="248">
        <f>IF($C82&lt;&gt;"",'G2 FIL Reading Scoresheet'!$I84/30,"")</f>
        <v/>
      </c>
      <c r="M82" s="248">
        <f>IF(AND($C82&lt;&gt;"",$K82&lt;&gt;"Full Refresher"),'G2 FIL Reading Scoresheet'!$Q84,"")</f>
        <v/>
      </c>
      <c r="N82" s="248">
        <f>IF(AND($C82&lt;&gt;"",K82&lt;&gt;"Full Refresher"),'G2 FIL Reading Scoresheet'!$R84/6,"")</f>
        <v/>
      </c>
      <c r="O82" s="57">
        <f>IF(AND(C82&lt;&gt;"",K82&lt;&gt;"Full Refresher"),'G2 FIL Reading Scoresheet'!$P84,"")</f>
        <v/>
      </c>
      <c r="P82" s="251">
        <f>'G2 FIL Reading Scoresheet'!$U84</f>
        <v/>
      </c>
      <c r="Q82" s="48">
        <f>CONCATENATE(IF(ISBLANK('G2 MT Reading Scoresheet'!V84),"",CONCATENATE("MT:",TRIM('G2 MT Reading Scoresheet'!V84)))," ",IF(ISBLANK('G2 FIL Reading Scoresheet'!V84),"",CONCATENATE("FIL:",TRIM('G2 FIL Reading Scoresheet'!V84))))</f>
        <v/>
      </c>
    </row>
    <row r="83">
      <c r="A83" s="43">
        <f>A82+1</f>
        <v/>
      </c>
      <c r="B83" s="49">
        <f>IF('G2 MT Reading Scoresheet'!B85&lt;&gt;"",'G2 MT Reading Scoresheet'!B85,"")</f>
        <v/>
      </c>
      <c r="C83" s="50">
        <f>IF('G2 MT Reading Scoresheet'!C85&lt;&gt;"",'G2 MT Reading Scoresheet'!C85,"")</f>
        <v/>
      </c>
      <c r="D83" s="51">
        <f>IF('G2 MT Reading Scoresheet'!D85&lt;&gt;"",'G2 MT Reading Scoresheet'!D85,"")</f>
        <v/>
      </c>
      <c r="E83" s="210">
        <f>'G2 MT Reading Scoresheet'!$J85</f>
        <v/>
      </c>
      <c r="F83" s="246">
        <f>IF(C83&lt;&gt;"",'G2 MT Reading Scoresheet'!$I85/30,"")</f>
        <v/>
      </c>
      <c r="G83" s="246">
        <f>IF(AND($C83&lt;&gt;"",$E83&lt;&gt;"Full Refresher"),'G2 MT Reading Scoresheet'!$Q85,"")</f>
        <v/>
      </c>
      <c r="H83" s="246">
        <f>IF(AND(C83&lt;&gt;"",E83&lt;&gt;"Full Refresher"),'G2 MT Reading Scoresheet'!$R85/6,"")</f>
        <v/>
      </c>
      <c r="I83" s="210">
        <f>IF(AND(D83&lt;&gt;"",F83&lt;&gt;"Full Refresher"),'G2 MT Reading Scoresheet'!$P85,"")</f>
        <v/>
      </c>
      <c r="J83" s="250">
        <f>'G2 MT Reading Scoresheet'!$U85</f>
        <v/>
      </c>
      <c r="K83" s="57">
        <f>'G2 FIL Reading Scoresheet'!$J85</f>
        <v/>
      </c>
      <c r="L83" s="248">
        <f>IF($C83&lt;&gt;"",'G2 FIL Reading Scoresheet'!$I85/30,"")</f>
        <v/>
      </c>
      <c r="M83" s="248">
        <f>IF(AND($C83&lt;&gt;"",$K83&lt;&gt;"Full Refresher"),'G2 FIL Reading Scoresheet'!$Q85,"")</f>
        <v/>
      </c>
      <c r="N83" s="248">
        <f>IF(AND($C83&lt;&gt;"",K83&lt;&gt;"Full Refresher"),'G2 FIL Reading Scoresheet'!$R85/6,"")</f>
        <v/>
      </c>
      <c r="O83" s="57">
        <f>IF(AND(C83&lt;&gt;"",K83&lt;&gt;"Full Refresher"),'G2 FIL Reading Scoresheet'!$P85,"")</f>
        <v/>
      </c>
      <c r="P83" s="251">
        <f>'G2 FIL Reading Scoresheet'!$U85</f>
        <v/>
      </c>
      <c r="Q83" s="52">
        <f>CONCATENATE(IF(ISBLANK('G2 MT Reading Scoresheet'!V85),"",CONCATENATE("MT:",TRIM('G2 MT Reading Scoresheet'!V85)))," ",IF(ISBLANK('G2 FIL Reading Scoresheet'!V85),"",CONCATENATE("FIL:",TRIM('G2 FIL Reading Scoresheet'!V85))))</f>
        <v/>
      </c>
    </row>
    <row r="84">
      <c r="A84" s="44">
        <f>A83+1</f>
        <v/>
      </c>
      <c r="B84" s="45">
        <f>IF('G2 MT Reading Scoresheet'!B86&lt;&gt;"",'G2 MT Reading Scoresheet'!B86,"")</f>
        <v/>
      </c>
      <c r="C84" s="46">
        <f>IF('G2 MT Reading Scoresheet'!C86&lt;&gt;"",'G2 MT Reading Scoresheet'!C86,"")</f>
        <v/>
      </c>
      <c r="D84" s="47">
        <f>IF('G2 MT Reading Scoresheet'!D86&lt;&gt;"",'G2 MT Reading Scoresheet'!D86,"")</f>
        <v/>
      </c>
      <c r="E84" s="210">
        <f>'G2 MT Reading Scoresheet'!$J86</f>
        <v/>
      </c>
      <c r="F84" s="246">
        <f>IF(C84&lt;&gt;"",'G2 MT Reading Scoresheet'!$I86/30,"")</f>
        <v/>
      </c>
      <c r="G84" s="246">
        <f>IF(AND($C84&lt;&gt;"",$E84&lt;&gt;"Full Refresher"),'G2 MT Reading Scoresheet'!$Q86,"")</f>
        <v/>
      </c>
      <c r="H84" s="246">
        <f>IF(AND(C84&lt;&gt;"",E84&lt;&gt;"Full Refresher"),'G2 MT Reading Scoresheet'!$R86/6,"")</f>
        <v/>
      </c>
      <c r="I84" s="210">
        <f>IF(AND(D84&lt;&gt;"",F84&lt;&gt;"Full Refresher"),'G2 MT Reading Scoresheet'!$P86,"")</f>
        <v/>
      </c>
      <c r="J84" s="250">
        <f>'G2 MT Reading Scoresheet'!$U86</f>
        <v/>
      </c>
      <c r="K84" s="57">
        <f>'G2 FIL Reading Scoresheet'!$J86</f>
        <v/>
      </c>
      <c r="L84" s="248">
        <f>IF($C84&lt;&gt;"",'G2 FIL Reading Scoresheet'!$I86/30,"")</f>
        <v/>
      </c>
      <c r="M84" s="248">
        <f>IF(AND($C84&lt;&gt;"",$K84&lt;&gt;"Full Refresher"),'G2 FIL Reading Scoresheet'!$Q86,"")</f>
        <v/>
      </c>
      <c r="N84" s="248">
        <f>IF(AND($C84&lt;&gt;"",K84&lt;&gt;"Full Refresher"),'G2 FIL Reading Scoresheet'!$R86/6,"")</f>
        <v/>
      </c>
      <c r="O84" s="57">
        <f>IF(AND(C84&lt;&gt;"",K84&lt;&gt;"Full Refresher"),'G2 FIL Reading Scoresheet'!$P86,"")</f>
        <v/>
      </c>
      <c r="P84" s="251">
        <f>'G2 FIL Reading Scoresheet'!$U86</f>
        <v/>
      </c>
      <c r="Q84" s="48">
        <f>CONCATENATE(IF(ISBLANK('G2 MT Reading Scoresheet'!V86),"",CONCATENATE("MT:",TRIM('G2 MT Reading Scoresheet'!V86)))," ",IF(ISBLANK('G2 FIL Reading Scoresheet'!V86),"",CONCATENATE("FIL:",TRIM('G2 FIL Reading Scoresheet'!V86))))</f>
        <v/>
      </c>
    </row>
    <row r="85">
      <c r="A85" s="43">
        <f>A84+1</f>
        <v/>
      </c>
      <c r="B85" s="49">
        <f>IF('G2 MT Reading Scoresheet'!B87&lt;&gt;"",'G2 MT Reading Scoresheet'!B87,"")</f>
        <v/>
      </c>
      <c r="C85" s="50">
        <f>IF('G2 MT Reading Scoresheet'!C87&lt;&gt;"",'G2 MT Reading Scoresheet'!C87,"")</f>
        <v/>
      </c>
      <c r="D85" s="51">
        <f>IF('G2 MT Reading Scoresheet'!D87&lt;&gt;"",'G2 MT Reading Scoresheet'!D87,"")</f>
        <v/>
      </c>
      <c r="E85" s="210">
        <f>'G2 MT Reading Scoresheet'!$J87</f>
        <v/>
      </c>
      <c r="F85" s="246">
        <f>IF(C85&lt;&gt;"",'G2 MT Reading Scoresheet'!$I87/30,"")</f>
        <v/>
      </c>
      <c r="G85" s="246">
        <f>IF(AND($C85&lt;&gt;"",$E85&lt;&gt;"Full Refresher"),'G2 MT Reading Scoresheet'!$Q87,"")</f>
        <v/>
      </c>
      <c r="H85" s="246">
        <f>IF(AND(C85&lt;&gt;"",E85&lt;&gt;"Full Refresher"),'G2 MT Reading Scoresheet'!$R87/6,"")</f>
        <v/>
      </c>
      <c r="I85" s="210">
        <f>IF(AND(D85&lt;&gt;"",F85&lt;&gt;"Full Refresher"),'G2 MT Reading Scoresheet'!$P87,"")</f>
        <v/>
      </c>
      <c r="J85" s="250">
        <f>'G2 MT Reading Scoresheet'!$U87</f>
        <v/>
      </c>
      <c r="K85" s="57">
        <f>'G2 FIL Reading Scoresheet'!$J87</f>
        <v/>
      </c>
      <c r="L85" s="248">
        <f>IF($C85&lt;&gt;"",'G2 FIL Reading Scoresheet'!$I87/30,"")</f>
        <v/>
      </c>
      <c r="M85" s="248">
        <f>IF(AND($C85&lt;&gt;"",$K85&lt;&gt;"Full Refresher"),'G2 FIL Reading Scoresheet'!$Q87,"")</f>
        <v/>
      </c>
      <c r="N85" s="248">
        <f>IF(AND($C85&lt;&gt;"",K85&lt;&gt;"Full Refresher"),'G2 FIL Reading Scoresheet'!$R87/6,"")</f>
        <v/>
      </c>
      <c r="O85" s="57">
        <f>IF(AND(C85&lt;&gt;"",K85&lt;&gt;"Full Refresher"),'G2 FIL Reading Scoresheet'!$P87,"")</f>
        <v/>
      </c>
      <c r="P85" s="251">
        <f>'G2 FIL Reading Scoresheet'!$U87</f>
        <v/>
      </c>
      <c r="Q85" s="52">
        <f>CONCATENATE(IF(ISBLANK('G2 MT Reading Scoresheet'!V87),"",CONCATENATE("MT:",TRIM('G2 MT Reading Scoresheet'!V87)))," ",IF(ISBLANK('G2 FIL Reading Scoresheet'!V87),"",CONCATENATE("FIL:",TRIM('G2 FIL Reading Scoresheet'!V87))))</f>
        <v/>
      </c>
    </row>
    <row r="86">
      <c r="A86" s="44">
        <f>A85+1</f>
        <v/>
      </c>
      <c r="B86" s="45">
        <f>IF('G2 MT Reading Scoresheet'!B88&lt;&gt;"",'G2 MT Reading Scoresheet'!B88,"")</f>
        <v/>
      </c>
      <c r="C86" s="46">
        <f>IF('G2 MT Reading Scoresheet'!C88&lt;&gt;"",'G2 MT Reading Scoresheet'!C88,"")</f>
        <v/>
      </c>
      <c r="D86" s="47">
        <f>IF('G2 MT Reading Scoresheet'!D88&lt;&gt;"",'G2 MT Reading Scoresheet'!D88,"")</f>
        <v/>
      </c>
      <c r="E86" s="210">
        <f>'G2 MT Reading Scoresheet'!$J88</f>
        <v/>
      </c>
      <c r="F86" s="246">
        <f>IF(C86&lt;&gt;"",'G2 MT Reading Scoresheet'!$I88/30,"")</f>
        <v/>
      </c>
      <c r="G86" s="246">
        <f>IF(AND($C86&lt;&gt;"",$E86&lt;&gt;"Full Refresher"),'G2 MT Reading Scoresheet'!$Q88,"")</f>
        <v/>
      </c>
      <c r="H86" s="246">
        <f>IF(AND(C86&lt;&gt;"",E86&lt;&gt;"Full Refresher"),'G2 MT Reading Scoresheet'!$R88/6,"")</f>
        <v/>
      </c>
      <c r="I86" s="210">
        <f>IF(AND(D86&lt;&gt;"",F86&lt;&gt;"Full Refresher"),'G2 MT Reading Scoresheet'!$P88,"")</f>
        <v/>
      </c>
      <c r="J86" s="250">
        <f>'G2 MT Reading Scoresheet'!$U88</f>
        <v/>
      </c>
      <c r="K86" s="57">
        <f>'G2 FIL Reading Scoresheet'!$J88</f>
        <v/>
      </c>
      <c r="L86" s="248">
        <f>IF($C86&lt;&gt;"",'G2 FIL Reading Scoresheet'!$I88/30,"")</f>
        <v/>
      </c>
      <c r="M86" s="248">
        <f>IF(AND($C86&lt;&gt;"",$K86&lt;&gt;"Full Refresher"),'G2 FIL Reading Scoresheet'!$Q88,"")</f>
        <v/>
      </c>
      <c r="N86" s="248">
        <f>IF(AND($C86&lt;&gt;"",K86&lt;&gt;"Full Refresher"),'G2 FIL Reading Scoresheet'!$R88/6,"")</f>
        <v/>
      </c>
      <c r="O86" s="57">
        <f>IF(AND(C86&lt;&gt;"",K86&lt;&gt;"Full Refresher"),'G2 FIL Reading Scoresheet'!$P88,"")</f>
        <v/>
      </c>
      <c r="P86" s="251">
        <f>'G2 FIL Reading Scoresheet'!$U88</f>
        <v/>
      </c>
      <c r="Q86" s="48">
        <f>CONCATENATE(IF(ISBLANK('G2 MT Reading Scoresheet'!V88),"",CONCATENATE("MT:",TRIM('G2 MT Reading Scoresheet'!V88)))," ",IF(ISBLANK('G2 FIL Reading Scoresheet'!V88),"",CONCATENATE("FIL:",TRIM('G2 FIL Reading Scoresheet'!V88))))</f>
        <v/>
      </c>
    </row>
    <row r="87">
      <c r="A87" s="43">
        <f>A86+1</f>
        <v/>
      </c>
      <c r="B87" s="49">
        <f>IF('G2 MT Reading Scoresheet'!B89&lt;&gt;"",'G2 MT Reading Scoresheet'!B89,"")</f>
        <v/>
      </c>
      <c r="C87" s="50">
        <f>IF('G2 MT Reading Scoresheet'!C89&lt;&gt;"",'G2 MT Reading Scoresheet'!C89,"")</f>
        <v/>
      </c>
      <c r="D87" s="51">
        <f>IF('G2 MT Reading Scoresheet'!D89&lt;&gt;"",'G2 MT Reading Scoresheet'!D89,"")</f>
        <v/>
      </c>
      <c r="E87" s="210">
        <f>'G2 MT Reading Scoresheet'!$J89</f>
        <v/>
      </c>
      <c r="F87" s="246">
        <f>IF(C87&lt;&gt;"",'G2 MT Reading Scoresheet'!$I89/30,"")</f>
        <v/>
      </c>
      <c r="G87" s="246">
        <f>IF(AND($C87&lt;&gt;"",$E87&lt;&gt;"Full Refresher"),'G2 MT Reading Scoresheet'!$Q89,"")</f>
        <v/>
      </c>
      <c r="H87" s="246">
        <f>IF(AND(C87&lt;&gt;"",E87&lt;&gt;"Full Refresher"),'G2 MT Reading Scoresheet'!$R89/6,"")</f>
        <v/>
      </c>
      <c r="I87" s="210">
        <f>IF(AND(D87&lt;&gt;"",F87&lt;&gt;"Full Refresher"),'G2 MT Reading Scoresheet'!$P89,"")</f>
        <v/>
      </c>
      <c r="J87" s="250">
        <f>'G2 MT Reading Scoresheet'!$U89</f>
        <v/>
      </c>
      <c r="K87" s="57">
        <f>'G2 FIL Reading Scoresheet'!$J89</f>
        <v/>
      </c>
      <c r="L87" s="248">
        <f>IF($C87&lt;&gt;"",'G2 FIL Reading Scoresheet'!$I89/30,"")</f>
        <v/>
      </c>
      <c r="M87" s="248">
        <f>IF(AND($C87&lt;&gt;"",$K87&lt;&gt;"Full Refresher"),'G2 FIL Reading Scoresheet'!$Q89,"")</f>
        <v/>
      </c>
      <c r="N87" s="248">
        <f>IF(AND($C87&lt;&gt;"",K87&lt;&gt;"Full Refresher"),'G2 FIL Reading Scoresheet'!$R89/6,"")</f>
        <v/>
      </c>
      <c r="O87" s="57">
        <f>IF(AND(C87&lt;&gt;"",K87&lt;&gt;"Full Refresher"),'G2 FIL Reading Scoresheet'!$P89,"")</f>
        <v/>
      </c>
      <c r="P87" s="251">
        <f>'G2 FIL Reading Scoresheet'!$U89</f>
        <v/>
      </c>
      <c r="Q87" s="52">
        <f>CONCATENATE(IF(ISBLANK('G2 MT Reading Scoresheet'!V89),"",CONCATENATE("MT:",TRIM('G2 MT Reading Scoresheet'!V89)))," ",IF(ISBLANK('G2 FIL Reading Scoresheet'!V89),"",CONCATENATE("FIL:",TRIM('G2 FIL Reading Scoresheet'!V89))))</f>
        <v/>
      </c>
    </row>
    <row r="88">
      <c r="A88" s="44">
        <f>A87+1</f>
        <v/>
      </c>
      <c r="B88" s="45">
        <f>IF('G2 MT Reading Scoresheet'!B90&lt;&gt;"",'G2 MT Reading Scoresheet'!B90,"")</f>
        <v/>
      </c>
      <c r="C88" s="46">
        <f>IF('G2 MT Reading Scoresheet'!C90&lt;&gt;"",'G2 MT Reading Scoresheet'!C90,"")</f>
        <v/>
      </c>
      <c r="D88" s="47">
        <f>IF('G2 MT Reading Scoresheet'!D90&lt;&gt;"",'G2 MT Reading Scoresheet'!D90,"")</f>
        <v/>
      </c>
      <c r="E88" s="210">
        <f>'G2 MT Reading Scoresheet'!$J90</f>
        <v/>
      </c>
      <c r="F88" s="246">
        <f>IF(C88&lt;&gt;"",'G2 MT Reading Scoresheet'!$I90/30,"")</f>
        <v/>
      </c>
      <c r="G88" s="246">
        <f>IF(AND($C88&lt;&gt;"",$E88&lt;&gt;"Full Refresher"),'G2 MT Reading Scoresheet'!$Q90,"")</f>
        <v/>
      </c>
      <c r="H88" s="246">
        <f>IF(AND(C88&lt;&gt;"",E88&lt;&gt;"Full Refresher"),'G2 MT Reading Scoresheet'!$R90/6,"")</f>
        <v/>
      </c>
      <c r="I88" s="210">
        <f>IF(AND(D88&lt;&gt;"",F88&lt;&gt;"Full Refresher"),'G2 MT Reading Scoresheet'!$P90,"")</f>
        <v/>
      </c>
      <c r="J88" s="250">
        <f>'G2 MT Reading Scoresheet'!$U90</f>
        <v/>
      </c>
      <c r="K88" s="57">
        <f>'G2 FIL Reading Scoresheet'!$J90</f>
        <v/>
      </c>
      <c r="L88" s="248">
        <f>IF($C88&lt;&gt;"",'G2 FIL Reading Scoresheet'!$I90/30,"")</f>
        <v/>
      </c>
      <c r="M88" s="248">
        <f>IF(AND($C88&lt;&gt;"",$K88&lt;&gt;"Full Refresher"),'G2 FIL Reading Scoresheet'!$Q90,"")</f>
        <v/>
      </c>
      <c r="N88" s="248">
        <f>IF(AND($C88&lt;&gt;"",K88&lt;&gt;"Full Refresher"),'G2 FIL Reading Scoresheet'!$R90/6,"")</f>
        <v/>
      </c>
      <c r="O88" s="57">
        <f>IF(AND(C88&lt;&gt;"",K88&lt;&gt;"Full Refresher"),'G2 FIL Reading Scoresheet'!$P90,"")</f>
        <v/>
      </c>
      <c r="P88" s="251">
        <f>'G2 FIL Reading Scoresheet'!$U90</f>
        <v/>
      </c>
      <c r="Q88" s="48">
        <f>CONCATENATE(IF(ISBLANK('G2 MT Reading Scoresheet'!V90),"",CONCATENATE("MT:",TRIM('G2 MT Reading Scoresheet'!V90)))," ",IF(ISBLANK('G2 FIL Reading Scoresheet'!V90),"",CONCATENATE("FIL:",TRIM('G2 FIL Reading Scoresheet'!V90))))</f>
        <v/>
      </c>
    </row>
    <row r="89">
      <c r="A89" s="43">
        <f>A88+1</f>
        <v/>
      </c>
      <c r="B89" s="49">
        <f>IF('G2 MT Reading Scoresheet'!B91&lt;&gt;"",'G2 MT Reading Scoresheet'!B91,"")</f>
        <v/>
      </c>
      <c r="C89" s="50">
        <f>IF('G2 MT Reading Scoresheet'!C91&lt;&gt;"",'G2 MT Reading Scoresheet'!C91,"")</f>
        <v/>
      </c>
      <c r="D89" s="51">
        <f>IF('G2 MT Reading Scoresheet'!D91&lt;&gt;"",'G2 MT Reading Scoresheet'!D91,"")</f>
        <v/>
      </c>
      <c r="E89" s="210">
        <f>'G2 MT Reading Scoresheet'!$J91</f>
        <v/>
      </c>
      <c r="F89" s="246">
        <f>IF(C89&lt;&gt;"",'G2 MT Reading Scoresheet'!$I91/30,"")</f>
        <v/>
      </c>
      <c r="G89" s="246">
        <f>IF(AND($C89&lt;&gt;"",$E89&lt;&gt;"Full Refresher"),'G2 MT Reading Scoresheet'!$Q91,"")</f>
        <v/>
      </c>
      <c r="H89" s="246">
        <f>IF(AND(C89&lt;&gt;"",E89&lt;&gt;"Full Refresher"),'G2 MT Reading Scoresheet'!$R91/6,"")</f>
        <v/>
      </c>
      <c r="I89" s="210">
        <f>IF(AND(D89&lt;&gt;"",F89&lt;&gt;"Full Refresher"),'G2 MT Reading Scoresheet'!$P91,"")</f>
        <v/>
      </c>
      <c r="J89" s="250">
        <f>'G2 MT Reading Scoresheet'!$U91</f>
        <v/>
      </c>
      <c r="K89" s="57">
        <f>'G2 FIL Reading Scoresheet'!$J91</f>
        <v/>
      </c>
      <c r="L89" s="248">
        <f>IF($C89&lt;&gt;"",'G2 FIL Reading Scoresheet'!$I91/30,"")</f>
        <v/>
      </c>
      <c r="M89" s="248">
        <f>IF(AND($C89&lt;&gt;"",$K89&lt;&gt;"Full Refresher"),'G2 FIL Reading Scoresheet'!$Q91,"")</f>
        <v/>
      </c>
      <c r="N89" s="248">
        <f>IF(AND($C89&lt;&gt;"",K89&lt;&gt;"Full Refresher"),'G2 FIL Reading Scoresheet'!$R91/6,"")</f>
        <v/>
      </c>
      <c r="O89" s="57">
        <f>IF(AND(C89&lt;&gt;"",K89&lt;&gt;"Full Refresher"),'G2 FIL Reading Scoresheet'!$P91,"")</f>
        <v/>
      </c>
      <c r="P89" s="251">
        <f>'G2 FIL Reading Scoresheet'!$U91</f>
        <v/>
      </c>
      <c r="Q89" s="52">
        <f>CONCATENATE(IF(ISBLANK('G2 MT Reading Scoresheet'!V91),"",CONCATENATE("MT:",TRIM('G2 MT Reading Scoresheet'!V91)))," ",IF(ISBLANK('G2 FIL Reading Scoresheet'!V91),"",CONCATENATE("FIL:",TRIM('G2 FIL Reading Scoresheet'!V91))))</f>
        <v/>
      </c>
    </row>
    <row r="90">
      <c r="A90" s="44">
        <f>A89+1</f>
        <v/>
      </c>
      <c r="B90" s="45">
        <f>IF('G2 MT Reading Scoresheet'!B92&lt;&gt;"",'G2 MT Reading Scoresheet'!B92,"")</f>
        <v/>
      </c>
      <c r="C90" s="46">
        <f>IF('G2 MT Reading Scoresheet'!C92&lt;&gt;"",'G2 MT Reading Scoresheet'!C92,"")</f>
        <v/>
      </c>
      <c r="D90" s="47">
        <f>IF('G2 MT Reading Scoresheet'!D92&lt;&gt;"",'G2 MT Reading Scoresheet'!D92,"")</f>
        <v/>
      </c>
      <c r="E90" s="210">
        <f>'G2 MT Reading Scoresheet'!$J92</f>
        <v/>
      </c>
      <c r="F90" s="246">
        <f>IF(C90&lt;&gt;"",'G2 MT Reading Scoresheet'!$I92/30,"")</f>
        <v/>
      </c>
      <c r="G90" s="246">
        <f>IF(AND($C90&lt;&gt;"",$E90&lt;&gt;"Full Refresher"),'G2 MT Reading Scoresheet'!$Q92,"")</f>
        <v/>
      </c>
      <c r="H90" s="246">
        <f>IF(AND(C90&lt;&gt;"",E90&lt;&gt;"Full Refresher"),'G2 MT Reading Scoresheet'!$R92/6,"")</f>
        <v/>
      </c>
      <c r="I90" s="210">
        <f>IF(AND(D90&lt;&gt;"",F90&lt;&gt;"Full Refresher"),'G2 MT Reading Scoresheet'!$P92,"")</f>
        <v/>
      </c>
      <c r="J90" s="250">
        <f>'G2 MT Reading Scoresheet'!$U92</f>
        <v/>
      </c>
      <c r="K90" s="57">
        <f>'G2 FIL Reading Scoresheet'!$J92</f>
        <v/>
      </c>
      <c r="L90" s="248">
        <f>IF($C90&lt;&gt;"",'G2 FIL Reading Scoresheet'!$I92/30,"")</f>
        <v/>
      </c>
      <c r="M90" s="248">
        <f>IF(AND($C90&lt;&gt;"",$K90&lt;&gt;"Full Refresher"),'G2 FIL Reading Scoresheet'!$Q92,"")</f>
        <v/>
      </c>
      <c r="N90" s="248">
        <f>IF(AND($C90&lt;&gt;"",K90&lt;&gt;"Full Refresher"),'G2 FIL Reading Scoresheet'!$R92/6,"")</f>
        <v/>
      </c>
      <c r="O90" s="57">
        <f>IF(AND(C90&lt;&gt;"",K90&lt;&gt;"Full Refresher"),'G2 FIL Reading Scoresheet'!$P92,"")</f>
        <v/>
      </c>
      <c r="P90" s="251">
        <f>'G2 FIL Reading Scoresheet'!$U92</f>
        <v/>
      </c>
      <c r="Q90" s="48">
        <f>CONCATENATE(IF(ISBLANK('G2 MT Reading Scoresheet'!V92),"",CONCATENATE("MT:",TRIM('G2 MT Reading Scoresheet'!V92)))," ",IF(ISBLANK('G2 FIL Reading Scoresheet'!V92),"",CONCATENATE("FIL:",TRIM('G2 FIL Reading Scoresheet'!V92))))</f>
        <v/>
      </c>
    </row>
    <row r="91">
      <c r="A91" s="43">
        <f>A90+1</f>
        <v/>
      </c>
      <c r="B91" s="49">
        <f>IF('G2 MT Reading Scoresheet'!B93&lt;&gt;"",'G2 MT Reading Scoresheet'!B93,"")</f>
        <v/>
      </c>
      <c r="C91" s="50">
        <f>IF('G2 MT Reading Scoresheet'!C93&lt;&gt;"",'G2 MT Reading Scoresheet'!C93,"")</f>
        <v/>
      </c>
      <c r="D91" s="51">
        <f>IF('G2 MT Reading Scoresheet'!D93&lt;&gt;"",'G2 MT Reading Scoresheet'!D93,"")</f>
        <v/>
      </c>
      <c r="E91" s="210">
        <f>'G2 MT Reading Scoresheet'!$J93</f>
        <v/>
      </c>
      <c r="F91" s="246">
        <f>IF(C91&lt;&gt;"",'G2 MT Reading Scoresheet'!$I93/30,"")</f>
        <v/>
      </c>
      <c r="G91" s="246">
        <f>IF(AND($C91&lt;&gt;"",$E91&lt;&gt;"Full Refresher"),'G2 MT Reading Scoresheet'!$Q93,"")</f>
        <v/>
      </c>
      <c r="H91" s="246">
        <f>IF(AND(C91&lt;&gt;"",E91&lt;&gt;"Full Refresher"),'G2 MT Reading Scoresheet'!$R93/6,"")</f>
        <v/>
      </c>
      <c r="I91" s="210">
        <f>IF(AND(D91&lt;&gt;"",F91&lt;&gt;"Full Refresher"),'G2 MT Reading Scoresheet'!$P93,"")</f>
        <v/>
      </c>
      <c r="J91" s="250">
        <f>'G2 MT Reading Scoresheet'!$U93</f>
        <v/>
      </c>
      <c r="K91" s="57">
        <f>'G2 FIL Reading Scoresheet'!$J93</f>
        <v/>
      </c>
      <c r="L91" s="248">
        <f>IF($C91&lt;&gt;"",'G2 FIL Reading Scoresheet'!$I93/30,"")</f>
        <v/>
      </c>
      <c r="M91" s="248">
        <f>IF(AND($C91&lt;&gt;"",$K91&lt;&gt;"Full Refresher"),'G2 FIL Reading Scoresheet'!$Q93,"")</f>
        <v/>
      </c>
      <c r="N91" s="248">
        <f>IF(AND($C91&lt;&gt;"",K91&lt;&gt;"Full Refresher"),'G2 FIL Reading Scoresheet'!$R93/6,"")</f>
        <v/>
      </c>
      <c r="O91" s="57">
        <f>IF(AND(C91&lt;&gt;"",K91&lt;&gt;"Full Refresher"),'G2 FIL Reading Scoresheet'!$P93,"")</f>
        <v/>
      </c>
      <c r="P91" s="251">
        <f>'G2 FIL Reading Scoresheet'!$U93</f>
        <v/>
      </c>
      <c r="Q91" s="52">
        <f>CONCATENATE(IF(ISBLANK('G2 MT Reading Scoresheet'!V93),"",CONCATENATE("MT:",TRIM('G2 MT Reading Scoresheet'!V93)))," ",IF(ISBLANK('G2 FIL Reading Scoresheet'!V93),"",CONCATENATE("FIL:",TRIM('G2 FIL Reading Scoresheet'!V93))))</f>
        <v/>
      </c>
    </row>
    <row r="92">
      <c r="A92" s="44">
        <f>A91+1</f>
        <v/>
      </c>
      <c r="B92" s="45">
        <f>IF('G2 MT Reading Scoresheet'!B94&lt;&gt;"",'G2 MT Reading Scoresheet'!B94,"")</f>
        <v/>
      </c>
      <c r="C92" s="46">
        <f>IF('G2 MT Reading Scoresheet'!C94&lt;&gt;"",'G2 MT Reading Scoresheet'!C94,"")</f>
        <v/>
      </c>
      <c r="D92" s="47">
        <f>IF('G2 MT Reading Scoresheet'!D94&lt;&gt;"",'G2 MT Reading Scoresheet'!D94,"")</f>
        <v/>
      </c>
      <c r="E92" s="210">
        <f>'G2 MT Reading Scoresheet'!$J94</f>
        <v/>
      </c>
      <c r="F92" s="246">
        <f>IF(C92&lt;&gt;"",'G2 MT Reading Scoresheet'!$I94/30,"")</f>
        <v/>
      </c>
      <c r="G92" s="246">
        <f>IF(AND($C92&lt;&gt;"",$E92&lt;&gt;"Full Refresher"),'G2 MT Reading Scoresheet'!$Q94,"")</f>
        <v/>
      </c>
      <c r="H92" s="246">
        <f>IF(AND(C92&lt;&gt;"",E92&lt;&gt;"Full Refresher"),'G2 MT Reading Scoresheet'!$R94/6,"")</f>
        <v/>
      </c>
      <c r="I92" s="210">
        <f>IF(AND(D92&lt;&gt;"",F92&lt;&gt;"Full Refresher"),'G2 MT Reading Scoresheet'!$P94,"")</f>
        <v/>
      </c>
      <c r="J92" s="250">
        <f>'G2 MT Reading Scoresheet'!$U94</f>
        <v/>
      </c>
      <c r="K92" s="57">
        <f>'G2 FIL Reading Scoresheet'!$J94</f>
        <v/>
      </c>
      <c r="L92" s="248">
        <f>IF($C92&lt;&gt;"",'G2 FIL Reading Scoresheet'!$I94/30,"")</f>
        <v/>
      </c>
      <c r="M92" s="248">
        <f>IF(AND($C92&lt;&gt;"",$K92&lt;&gt;"Full Refresher"),'G2 FIL Reading Scoresheet'!$Q94,"")</f>
        <v/>
      </c>
      <c r="N92" s="248">
        <f>IF(AND($C92&lt;&gt;"",K92&lt;&gt;"Full Refresher"),'G2 FIL Reading Scoresheet'!$R94/6,"")</f>
        <v/>
      </c>
      <c r="O92" s="57">
        <f>IF(AND(C92&lt;&gt;"",K92&lt;&gt;"Full Refresher"),'G2 FIL Reading Scoresheet'!$P94,"")</f>
        <v/>
      </c>
      <c r="P92" s="251">
        <f>'G2 FIL Reading Scoresheet'!$U94</f>
        <v/>
      </c>
      <c r="Q92" s="48">
        <f>CONCATENATE(IF(ISBLANK('G2 MT Reading Scoresheet'!V94),"",CONCATENATE("MT:",TRIM('G2 MT Reading Scoresheet'!V94)))," ",IF(ISBLANK('G2 FIL Reading Scoresheet'!V94),"",CONCATENATE("FIL:",TRIM('G2 FIL Reading Scoresheet'!V94))))</f>
        <v/>
      </c>
    </row>
    <row r="93">
      <c r="A93" s="43">
        <f>A92+1</f>
        <v/>
      </c>
      <c r="B93" s="49">
        <f>IF('G2 MT Reading Scoresheet'!B95&lt;&gt;"",'G2 MT Reading Scoresheet'!B95,"")</f>
        <v/>
      </c>
      <c r="C93" s="50">
        <f>IF('G2 MT Reading Scoresheet'!C95&lt;&gt;"",'G2 MT Reading Scoresheet'!C95,"")</f>
        <v/>
      </c>
      <c r="D93" s="51">
        <f>IF('G2 MT Reading Scoresheet'!D95&lt;&gt;"",'G2 MT Reading Scoresheet'!D95,"")</f>
        <v/>
      </c>
      <c r="E93" s="210">
        <f>'G2 MT Reading Scoresheet'!$J95</f>
        <v/>
      </c>
      <c r="F93" s="246">
        <f>IF(C93&lt;&gt;"",'G2 MT Reading Scoresheet'!$I95/30,"")</f>
        <v/>
      </c>
      <c r="G93" s="246">
        <f>IF(AND($C93&lt;&gt;"",$E93&lt;&gt;"Full Refresher"),'G2 MT Reading Scoresheet'!$Q95,"")</f>
        <v/>
      </c>
      <c r="H93" s="246">
        <f>IF(AND(C93&lt;&gt;"",E93&lt;&gt;"Full Refresher"),'G2 MT Reading Scoresheet'!$R95/6,"")</f>
        <v/>
      </c>
      <c r="I93" s="210">
        <f>IF(AND(D93&lt;&gt;"",F93&lt;&gt;"Full Refresher"),'G2 MT Reading Scoresheet'!$P95,"")</f>
        <v/>
      </c>
      <c r="J93" s="250">
        <f>'G2 MT Reading Scoresheet'!$U95</f>
        <v/>
      </c>
      <c r="K93" s="57">
        <f>'G2 FIL Reading Scoresheet'!$J95</f>
        <v/>
      </c>
      <c r="L93" s="248">
        <f>IF($C93&lt;&gt;"",'G2 FIL Reading Scoresheet'!$I95/30,"")</f>
        <v/>
      </c>
      <c r="M93" s="248">
        <f>IF(AND($C93&lt;&gt;"",$K93&lt;&gt;"Full Refresher"),'G2 FIL Reading Scoresheet'!$Q95,"")</f>
        <v/>
      </c>
      <c r="N93" s="248">
        <f>IF(AND($C93&lt;&gt;"",K93&lt;&gt;"Full Refresher"),'G2 FIL Reading Scoresheet'!$R95/6,"")</f>
        <v/>
      </c>
      <c r="O93" s="57">
        <f>IF(AND(C93&lt;&gt;"",K93&lt;&gt;"Full Refresher"),'G2 FIL Reading Scoresheet'!$P95,"")</f>
        <v/>
      </c>
      <c r="P93" s="251">
        <f>'G2 FIL Reading Scoresheet'!$U95</f>
        <v/>
      </c>
      <c r="Q93" s="52">
        <f>CONCATENATE(IF(ISBLANK('G2 MT Reading Scoresheet'!V95),"",CONCATENATE("MT:",TRIM('G2 MT Reading Scoresheet'!V95)))," ",IF(ISBLANK('G2 FIL Reading Scoresheet'!V95),"",CONCATENATE("FIL:",TRIM('G2 FIL Reading Scoresheet'!V95))))</f>
        <v/>
      </c>
    </row>
    <row r="94">
      <c r="A94" s="44">
        <f>A93+1</f>
        <v/>
      </c>
      <c r="B94" s="45">
        <f>IF('G2 MT Reading Scoresheet'!B96&lt;&gt;"",'G2 MT Reading Scoresheet'!B96,"")</f>
        <v/>
      </c>
      <c r="C94" s="46">
        <f>IF('G2 MT Reading Scoresheet'!C96&lt;&gt;"",'G2 MT Reading Scoresheet'!C96,"")</f>
        <v/>
      </c>
      <c r="D94" s="47">
        <f>IF('G2 MT Reading Scoresheet'!D96&lt;&gt;"",'G2 MT Reading Scoresheet'!D96,"")</f>
        <v/>
      </c>
      <c r="E94" s="210">
        <f>'G2 MT Reading Scoresheet'!$J96</f>
        <v/>
      </c>
      <c r="F94" s="246">
        <f>IF(C94&lt;&gt;"",'G2 MT Reading Scoresheet'!$I96/30,"")</f>
        <v/>
      </c>
      <c r="G94" s="246">
        <f>IF(AND($C94&lt;&gt;"",$E94&lt;&gt;"Full Refresher"),'G2 MT Reading Scoresheet'!$Q96,"")</f>
        <v/>
      </c>
      <c r="H94" s="246">
        <f>IF(AND(C94&lt;&gt;"",E94&lt;&gt;"Full Refresher"),'G2 MT Reading Scoresheet'!$R96/6,"")</f>
        <v/>
      </c>
      <c r="I94" s="210">
        <f>IF(AND(D94&lt;&gt;"",F94&lt;&gt;"Full Refresher"),'G2 MT Reading Scoresheet'!$P96,"")</f>
        <v/>
      </c>
      <c r="J94" s="250">
        <f>'G2 MT Reading Scoresheet'!$U96</f>
        <v/>
      </c>
      <c r="K94" s="57">
        <f>'G2 FIL Reading Scoresheet'!$J96</f>
        <v/>
      </c>
      <c r="L94" s="248">
        <f>IF($C94&lt;&gt;"",'G2 FIL Reading Scoresheet'!$I96/30,"")</f>
        <v/>
      </c>
      <c r="M94" s="248">
        <f>IF(AND($C94&lt;&gt;"",$K94&lt;&gt;"Full Refresher"),'G2 FIL Reading Scoresheet'!$Q96,"")</f>
        <v/>
      </c>
      <c r="N94" s="248">
        <f>IF(AND($C94&lt;&gt;"",K94&lt;&gt;"Full Refresher"),'G2 FIL Reading Scoresheet'!$R96/6,"")</f>
        <v/>
      </c>
      <c r="O94" s="57">
        <f>IF(AND(C94&lt;&gt;"",K94&lt;&gt;"Full Refresher"),'G2 FIL Reading Scoresheet'!$P96,"")</f>
        <v/>
      </c>
      <c r="P94" s="251">
        <f>'G2 FIL Reading Scoresheet'!$U96</f>
        <v/>
      </c>
      <c r="Q94" s="48">
        <f>CONCATENATE(IF(ISBLANK('G2 MT Reading Scoresheet'!V96),"",CONCATENATE("MT:",TRIM('G2 MT Reading Scoresheet'!V96)))," ",IF(ISBLANK('G2 FIL Reading Scoresheet'!V96),"",CONCATENATE("FIL:",TRIM('G2 FIL Reading Scoresheet'!V96))))</f>
        <v/>
      </c>
    </row>
    <row r="95">
      <c r="A95" s="43">
        <f>A94+1</f>
        <v/>
      </c>
      <c r="B95" s="49">
        <f>IF('G2 MT Reading Scoresheet'!B97&lt;&gt;"",'G2 MT Reading Scoresheet'!B97,"")</f>
        <v/>
      </c>
      <c r="C95" s="50">
        <f>IF('G2 MT Reading Scoresheet'!C97&lt;&gt;"",'G2 MT Reading Scoresheet'!C97,"")</f>
        <v/>
      </c>
      <c r="D95" s="51">
        <f>IF('G2 MT Reading Scoresheet'!D97&lt;&gt;"",'G2 MT Reading Scoresheet'!D97,"")</f>
        <v/>
      </c>
      <c r="E95" s="210">
        <f>'G2 MT Reading Scoresheet'!$J97</f>
        <v/>
      </c>
      <c r="F95" s="246">
        <f>IF(C95&lt;&gt;"",'G2 MT Reading Scoresheet'!$I97/30,"")</f>
        <v/>
      </c>
      <c r="G95" s="246">
        <f>IF(AND($C95&lt;&gt;"",$E95&lt;&gt;"Full Refresher"),'G2 MT Reading Scoresheet'!$Q97,"")</f>
        <v/>
      </c>
      <c r="H95" s="246">
        <f>IF(AND(C95&lt;&gt;"",E95&lt;&gt;"Full Refresher"),'G2 MT Reading Scoresheet'!$R97/6,"")</f>
        <v/>
      </c>
      <c r="I95" s="210">
        <f>IF(AND(D95&lt;&gt;"",F95&lt;&gt;"Full Refresher"),'G2 MT Reading Scoresheet'!$P97,"")</f>
        <v/>
      </c>
      <c r="J95" s="250">
        <f>'G2 MT Reading Scoresheet'!$U97</f>
        <v/>
      </c>
      <c r="K95" s="57">
        <f>'G2 FIL Reading Scoresheet'!$J97</f>
        <v/>
      </c>
      <c r="L95" s="248">
        <f>IF($C95&lt;&gt;"",'G2 FIL Reading Scoresheet'!$I97/30,"")</f>
        <v/>
      </c>
      <c r="M95" s="248">
        <f>IF(AND($C95&lt;&gt;"",$K95&lt;&gt;"Full Refresher"),'G2 FIL Reading Scoresheet'!$Q97,"")</f>
        <v/>
      </c>
      <c r="N95" s="248">
        <f>IF(AND($C95&lt;&gt;"",K95&lt;&gt;"Full Refresher"),'G2 FIL Reading Scoresheet'!$R97/6,"")</f>
        <v/>
      </c>
      <c r="O95" s="57">
        <f>IF(AND(C95&lt;&gt;"",K95&lt;&gt;"Full Refresher"),'G2 FIL Reading Scoresheet'!$P97,"")</f>
        <v/>
      </c>
      <c r="P95" s="251">
        <f>'G2 FIL Reading Scoresheet'!$U97</f>
        <v/>
      </c>
      <c r="Q95" s="52">
        <f>CONCATENATE(IF(ISBLANK('G2 MT Reading Scoresheet'!V97),"",CONCATENATE("MT:",TRIM('G2 MT Reading Scoresheet'!V97)))," ",IF(ISBLANK('G2 FIL Reading Scoresheet'!V97),"",CONCATENATE("FIL:",TRIM('G2 FIL Reading Scoresheet'!V97))))</f>
        <v/>
      </c>
    </row>
    <row r="96">
      <c r="A96" s="44">
        <f>A95+1</f>
        <v/>
      </c>
      <c r="B96" s="45">
        <f>IF('G2 MT Reading Scoresheet'!B98&lt;&gt;"",'G2 MT Reading Scoresheet'!B98,"")</f>
        <v/>
      </c>
      <c r="C96" s="46">
        <f>IF('G2 MT Reading Scoresheet'!C98&lt;&gt;"",'G2 MT Reading Scoresheet'!C98,"")</f>
        <v/>
      </c>
      <c r="D96" s="47">
        <f>IF('G2 MT Reading Scoresheet'!D98&lt;&gt;"",'G2 MT Reading Scoresheet'!D98,"")</f>
        <v/>
      </c>
      <c r="E96" s="210">
        <f>'G2 MT Reading Scoresheet'!$J98</f>
        <v/>
      </c>
      <c r="F96" s="246">
        <f>IF(C96&lt;&gt;"",'G2 MT Reading Scoresheet'!$I98/30,"")</f>
        <v/>
      </c>
      <c r="G96" s="246">
        <f>IF(AND($C96&lt;&gt;"",$E96&lt;&gt;"Full Refresher"),'G2 MT Reading Scoresheet'!$Q98,"")</f>
        <v/>
      </c>
      <c r="H96" s="246">
        <f>IF(AND(C96&lt;&gt;"",E96&lt;&gt;"Full Refresher"),'G2 MT Reading Scoresheet'!$R98/6,"")</f>
        <v/>
      </c>
      <c r="I96" s="210">
        <f>IF(AND(D96&lt;&gt;"",F96&lt;&gt;"Full Refresher"),'G2 MT Reading Scoresheet'!$P98,"")</f>
        <v/>
      </c>
      <c r="J96" s="250">
        <f>'G2 MT Reading Scoresheet'!$U98</f>
        <v/>
      </c>
      <c r="K96" s="57">
        <f>'G2 FIL Reading Scoresheet'!$J98</f>
        <v/>
      </c>
      <c r="L96" s="248">
        <f>IF($C96&lt;&gt;"",'G2 FIL Reading Scoresheet'!$I98/30,"")</f>
        <v/>
      </c>
      <c r="M96" s="248">
        <f>IF(AND($C96&lt;&gt;"",$K96&lt;&gt;"Full Refresher"),'G2 FIL Reading Scoresheet'!$Q98,"")</f>
        <v/>
      </c>
      <c r="N96" s="248">
        <f>IF(AND($C96&lt;&gt;"",K96&lt;&gt;"Full Refresher"),'G2 FIL Reading Scoresheet'!$R98/6,"")</f>
        <v/>
      </c>
      <c r="O96" s="57">
        <f>IF(AND(C96&lt;&gt;"",K96&lt;&gt;"Full Refresher"),'G2 FIL Reading Scoresheet'!$P98,"")</f>
        <v/>
      </c>
      <c r="P96" s="251">
        <f>'G2 FIL Reading Scoresheet'!$U98</f>
        <v/>
      </c>
      <c r="Q96" s="48">
        <f>CONCATENATE(IF(ISBLANK('G2 MT Reading Scoresheet'!V98),"",CONCATENATE("MT:",TRIM('G2 MT Reading Scoresheet'!V98)))," ",IF(ISBLANK('G2 FIL Reading Scoresheet'!V98),"",CONCATENATE("FIL:",TRIM('G2 FIL Reading Scoresheet'!V98))))</f>
        <v/>
      </c>
    </row>
    <row r="97">
      <c r="A97" s="43">
        <f>A96+1</f>
        <v/>
      </c>
      <c r="B97" s="49">
        <f>IF('G2 MT Reading Scoresheet'!B99&lt;&gt;"",'G2 MT Reading Scoresheet'!B99,"")</f>
        <v/>
      </c>
      <c r="C97" s="50">
        <f>IF('G2 MT Reading Scoresheet'!C99&lt;&gt;"",'G2 MT Reading Scoresheet'!C99,"")</f>
        <v/>
      </c>
      <c r="D97" s="51">
        <f>IF('G2 MT Reading Scoresheet'!D99&lt;&gt;"",'G2 MT Reading Scoresheet'!D99,"")</f>
        <v/>
      </c>
      <c r="E97" s="210">
        <f>'G2 MT Reading Scoresheet'!$J99</f>
        <v/>
      </c>
      <c r="F97" s="246">
        <f>IF(C97&lt;&gt;"",'G2 MT Reading Scoresheet'!$I99/30,"")</f>
        <v/>
      </c>
      <c r="G97" s="246">
        <f>IF(AND($C97&lt;&gt;"",$E97&lt;&gt;"Full Refresher"),'G2 MT Reading Scoresheet'!$Q99,"")</f>
        <v/>
      </c>
      <c r="H97" s="246">
        <f>IF(AND(C97&lt;&gt;"",E97&lt;&gt;"Full Refresher"),'G2 MT Reading Scoresheet'!$R99/6,"")</f>
        <v/>
      </c>
      <c r="I97" s="210">
        <f>IF(AND(D97&lt;&gt;"",F97&lt;&gt;"Full Refresher"),'G2 MT Reading Scoresheet'!$P99,"")</f>
        <v/>
      </c>
      <c r="J97" s="250">
        <f>'G2 MT Reading Scoresheet'!$U99</f>
        <v/>
      </c>
      <c r="K97" s="57">
        <f>'G2 FIL Reading Scoresheet'!$J99</f>
        <v/>
      </c>
      <c r="L97" s="248">
        <f>IF($C97&lt;&gt;"",'G2 FIL Reading Scoresheet'!$I99/30,"")</f>
        <v/>
      </c>
      <c r="M97" s="248">
        <f>IF(AND($C97&lt;&gt;"",$K97&lt;&gt;"Full Refresher"),'G2 FIL Reading Scoresheet'!$Q99,"")</f>
        <v/>
      </c>
      <c r="N97" s="248">
        <f>IF(AND($C97&lt;&gt;"",K97&lt;&gt;"Full Refresher"),'G2 FIL Reading Scoresheet'!$R99/6,"")</f>
        <v/>
      </c>
      <c r="O97" s="57">
        <f>IF(AND(C97&lt;&gt;"",K97&lt;&gt;"Full Refresher"),'G2 FIL Reading Scoresheet'!$P99,"")</f>
        <v/>
      </c>
      <c r="P97" s="251">
        <f>'G2 FIL Reading Scoresheet'!$U99</f>
        <v/>
      </c>
      <c r="Q97" s="52">
        <f>CONCATENATE(IF(ISBLANK('G2 MT Reading Scoresheet'!V99),"",CONCATENATE("MT:",TRIM('G2 MT Reading Scoresheet'!V99)))," ",IF(ISBLANK('G2 FIL Reading Scoresheet'!V99),"",CONCATENATE("FIL:",TRIM('G2 FIL Reading Scoresheet'!V99))))</f>
        <v/>
      </c>
    </row>
    <row r="98">
      <c r="A98" s="44">
        <f>A97+1</f>
        <v/>
      </c>
      <c r="B98" s="45">
        <f>IF('G2 MT Reading Scoresheet'!B100&lt;&gt;"",'G2 MT Reading Scoresheet'!B100,"")</f>
        <v/>
      </c>
      <c r="C98" s="46">
        <f>IF('G2 MT Reading Scoresheet'!C100&lt;&gt;"",'G2 MT Reading Scoresheet'!C100,"")</f>
        <v/>
      </c>
      <c r="D98" s="47">
        <f>IF('G2 MT Reading Scoresheet'!D100&lt;&gt;"",'G2 MT Reading Scoresheet'!D100,"")</f>
        <v/>
      </c>
      <c r="E98" s="210">
        <f>'G2 MT Reading Scoresheet'!$J100</f>
        <v/>
      </c>
      <c r="F98" s="246">
        <f>IF(C98&lt;&gt;"",'G2 MT Reading Scoresheet'!$I100/30,"")</f>
        <v/>
      </c>
      <c r="G98" s="246">
        <f>IF(AND($C98&lt;&gt;"",$E98&lt;&gt;"Full Refresher"),'G2 MT Reading Scoresheet'!$Q100,"")</f>
        <v/>
      </c>
      <c r="H98" s="246">
        <f>IF(AND(C98&lt;&gt;"",E98&lt;&gt;"Full Refresher"),'G2 MT Reading Scoresheet'!$R100/6,"")</f>
        <v/>
      </c>
      <c r="I98" s="210">
        <f>IF(AND(D98&lt;&gt;"",F98&lt;&gt;"Full Refresher"),'G2 MT Reading Scoresheet'!$P100,"")</f>
        <v/>
      </c>
      <c r="J98" s="250">
        <f>'G2 MT Reading Scoresheet'!$U100</f>
        <v/>
      </c>
      <c r="K98" s="57">
        <f>'G2 FIL Reading Scoresheet'!$J100</f>
        <v/>
      </c>
      <c r="L98" s="248">
        <f>IF($C98&lt;&gt;"",'G2 FIL Reading Scoresheet'!$I100/30,"")</f>
        <v/>
      </c>
      <c r="M98" s="248">
        <f>IF(AND($C98&lt;&gt;"",$K98&lt;&gt;"Full Refresher"),'G2 FIL Reading Scoresheet'!$Q100,"")</f>
        <v/>
      </c>
      <c r="N98" s="248">
        <f>IF(AND($C98&lt;&gt;"",K98&lt;&gt;"Full Refresher"),'G2 FIL Reading Scoresheet'!$R100/6,"")</f>
        <v/>
      </c>
      <c r="O98" s="57">
        <f>IF(AND(C98&lt;&gt;"",K98&lt;&gt;"Full Refresher"),'G2 FIL Reading Scoresheet'!$P100,"")</f>
        <v/>
      </c>
      <c r="P98" s="251">
        <f>'G2 FIL Reading Scoresheet'!$U100</f>
        <v/>
      </c>
      <c r="Q98" s="48">
        <f>CONCATENATE(IF(ISBLANK('G2 MT Reading Scoresheet'!V100),"",CONCATENATE("MT:",TRIM('G2 MT Reading Scoresheet'!V100)))," ",IF(ISBLANK('G2 FIL Reading Scoresheet'!V100),"",CONCATENATE("FIL:",TRIM('G2 FIL Reading Scoresheet'!V100))))</f>
        <v/>
      </c>
    </row>
    <row r="99">
      <c r="A99" s="43">
        <f>A98+1</f>
        <v/>
      </c>
      <c r="B99" s="49">
        <f>IF('G2 MT Reading Scoresheet'!B101&lt;&gt;"",'G2 MT Reading Scoresheet'!B101,"")</f>
        <v/>
      </c>
      <c r="C99" s="50">
        <f>IF('G2 MT Reading Scoresheet'!C101&lt;&gt;"",'G2 MT Reading Scoresheet'!C101,"")</f>
        <v/>
      </c>
      <c r="D99" s="51">
        <f>IF('G2 MT Reading Scoresheet'!D101&lt;&gt;"",'G2 MT Reading Scoresheet'!D101,"")</f>
        <v/>
      </c>
      <c r="E99" s="210">
        <f>'G2 MT Reading Scoresheet'!$J101</f>
        <v/>
      </c>
      <c r="F99" s="246">
        <f>IF(C99&lt;&gt;"",'G2 MT Reading Scoresheet'!$I101/30,"")</f>
        <v/>
      </c>
      <c r="G99" s="246">
        <f>IF(AND($C99&lt;&gt;"",$E99&lt;&gt;"Full Refresher"),'G2 MT Reading Scoresheet'!$Q101,"")</f>
        <v/>
      </c>
      <c r="H99" s="246">
        <f>IF(AND(C99&lt;&gt;"",E99&lt;&gt;"Full Refresher"),'G2 MT Reading Scoresheet'!$R101/6,"")</f>
        <v/>
      </c>
      <c r="I99" s="210">
        <f>IF(AND(D99&lt;&gt;"",F99&lt;&gt;"Full Refresher"),'G2 MT Reading Scoresheet'!$P101,"")</f>
        <v/>
      </c>
      <c r="J99" s="250">
        <f>'G2 MT Reading Scoresheet'!$U101</f>
        <v/>
      </c>
      <c r="K99" s="57">
        <f>'G2 FIL Reading Scoresheet'!$J101</f>
        <v/>
      </c>
      <c r="L99" s="248">
        <f>IF($C99&lt;&gt;"",'G2 FIL Reading Scoresheet'!$I101/30,"")</f>
        <v/>
      </c>
      <c r="M99" s="248">
        <f>IF(AND($C99&lt;&gt;"",$K99&lt;&gt;"Full Refresher"),'G2 FIL Reading Scoresheet'!$Q101,"")</f>
        <v/>
      </c>
      <c r="N99" s="248">
        <f>IF(AND($C99&lt;&gt;"",K99&lt;&gt;"Full Refresher"),'G2 FIL Reading Scoresheet'!$R101/6,"")</f>
        <v/>
      </c>
      <c r="O99" s="57">
        <f>IF(AND(C99&lt;&gt;"",K99&lt;&gt;"Full Refresher"),'G2 FIL Reading Scoresheet'!$P101,"")</f>
        <v/>
      </c>
      <c r="P99" s="251">
        <f>'G2 FIL Reading Scoresheet'!$U101</f>
        <v/>
      </c>
      <c r="Q99" s="52">
        <f>CONCATENATE(IF(ISBLANK('G2 MT Reading Scoresheet'!V101),"",CONCATENATE("MT:",TRIM('G2 MT Reading Scoresheet'!V101)))," ",IF(ISBLANK('G2 FIL Reading Scoresheet'!V101),"",CONCATENATE("FIL:",TRIM('G2 FIL Reading Scoresheet'!V101))))</f>
        <v/>
      </c>
    </row>
    <row r="100">
      <c r="A100" s="44">
        <f>A99+1</f>
        <v/>
      </c>
      <c r="B100" s="45">
        <f>IF('G2 MT Reading Scoresheet'!B102&lt;&gt;"",'G2 MT Reading Scoresheet'!B102,"")</f>
        <v/>
      </c>
      <c r="C100" s="46">
        <f>IF('G2 MT Reading Scoresheet'!C102&lt;&gt;"",'G2 MT Reading Scoresheet'!C102,"")</f>
        <v/>
      </c>
      <c r="D100" s="47">
        <f>IF('G2 MT Reading Scoresheet'!D102&lt;&gt;"",'G2 MT Reading Scoresheet'!D102,"")</f>
        <v/>
      </c>
      <c r="E100" s="210">
        <f>'G2 MT Reading Scoresheet'!$J102</f>
        <v/>
      </c>
      <c r="F100" s="246">
        <f>IF(C100&lt;&gt;"",'G2 MT Reading Scoresheet'!$I102/30,"")</f>
        <v/>
      </c>
      <c r="G100" s="246">
        <f>IF(AND($C100&lt;&gt;"",$E100&lt;&gt;"Full Refresher"),'G2 MT Reading Scoresheet'!$Q102,"")</f>
        <v/>
      </c>
      <c r="H100" s="246">
        <f>IF(AND(C100&lt;&gt;"",E100&lt;&gt;"Full Refresher"),'G2 MT Reading Scoresheet'!$R102/6,"")</f>
        <v/>
      </c>
      <c r="I100" s="210">
        <f>IF(AND(D100&lt;&gt;"",F100&lt;&gt;"Full Refresher"),'G2 MT Reading Scoresheet'!$P102,"")</f>
        <v/>
      </c>
      <c r="J100" s="250">
        <f>'G2 MT Reading Scoresheet'!$U102</f>
        <v/>
      </c>
      <c r="K100" s="57">
        <f>'G2 FIL Reading Scoresheet'!$J102</f>
        <v/>
      </c>
      <c r="L100" s="248">
        <f>IF($C100&lt;&gt;"",'G2 FIL Reading Scoresheet'!$I102/30,"")</f>
        <v/>
      </c>
      <c r="M100" s="248">
        <f>IF(AND($C100&lt;&gt;"",$K100&lt;&gt;"Full Refresher"),'G2 FIL Reading Scoresheet'!$Q102,"")</f>
        <v/>
      </c>
      <c r="N100" s="248">
        <f>IF(AND($C100&lt;&gt;"",K100&lt;&gt;"Full Refresher"),'G2 FIL Reading Scoresheet'!$R102/6,"")</f>
        <v/>
      </c>
      <c r="O100" s="57">
        <f>IF(AND(C100&lt;&gt;"",K100&lt;&gt;"Full Refresher"),'G2 FIL Reading Scoresheet'!$P102,"")</f>
        <v/>
      </c>
      <c r="P100" s="251">
        <f>'G2 FIL Reading Scoresheet'!$U102</f>
        <v/>
      </c>
      <c r="Q100" s="48">
        <f>CONCATENATE(IF(ISBLANK('G2 MT Reading Scoresheet'!V102),"",CONCATENATE("MT:",TRIM('G2 MT Reading Scoresheet'!V102)))," ",IF(ISBLANK('G2 FIL Reading Scoresheet'!V102),"",CONCATENATE("FIL:",TRIM('G2 FIL Reading Scoresheet'!V102))))</f>
        <v/>
      </c>
    </row>
    <row r="101">
      <c r="A101" s="43">
        <f>A100+1</f>
        <v/>
      </c>
      <c r="B101" s="49">
        <f>IF('G2 MT Reading Scoresheet'!B103&lt;&gt;"",'G2 MT Reading Scoresheet'!B103,"")</f>
        <v/>
      </c>
      <c r="C101" s="50">
        <f>IF('G2 MT Reading Scoresheet'!C103&lt;&gt;"",'G2 MT Reading Scoresheet'!C103,"")</f>
        <v/>
      </c>
      <c r="D101" s="51">
        <f>IF('G2 MT Reading Scoresheet'!D103&lt;&gt;"",'G2 MT Reading Scoresheet'!D103,"")</f>
        <v/>
      </c>
      <c r="E101" s="210">
        <f>'G2 MT Reading Scoresheet'!$J103</f>
        <v/>
      </c>
      <c r="F101" s="246">
        <f>IF(C101&lt;&gt;"",'G2 MT Reading Scoresheet'!$I103/30,"")</f>
        <v/>
      </c>
      <c r="G101" s="246">
        <f>IF(AND($C101&lt;&gt;"",$E101&lt;&gt;"Full Refresher"),'G2 MT Reading Scoresheet'!$Q103,"")</f>
        <v/>
      </c>
      <c r="H101" s="246">
        <f>IF(AND(C101&lt;&gt;"",E101&lt;&gt;"Full Refresher"),'G2 MT Reading Scoresheet'!$R103/6,"")</f>
        <v/>
      </c>
      <c r="I101" s="210">
        <f>IF(AND(D101&lt;&gt;"",F101&lt;&gt;"Full Refresher"),'G2 MT Reading Scoresheet'!$P103,"")</f>
        <v/>
      </c>
      <c r="J101" s="250">
        <f>'G2 MT Reading Scoresheet'!$U103</f>
        <v/>
      </c>
      <c r="K101" s="57">
        <f>'G2 FIL Reading Scoresheet'!$J103</f>
        <v/>
      </c>
      <c r="L101" s="248">
        <f>IF($C101&lt;&gt;"",'G2 FIL Reading Scoresheet'!$I103/30,"")</f>
        <v/>
      </c>
      <c r="M101" s="248">
        <f>IF(AND($C101&lt;&gt;"",$K101&lt;&gt;"Full Refresher"),'G2 FIL Reading Scoresheet'!$Q103,"")</f>
        <v/>
      </c>
      <c r="N101" s="248">
        <f>IF(AND($C101&lt;&gt;"",K101&lt;&gt;"Full Refresher"),'G2 FIL Reading Scoresheet'!$R103/6,"")</f>
        <v/>
      </c>
      <c r="O101" s="57">
        <f>IF(AND(C101&lt;&gt;"",K101&lt;&gt;"Full Refresher"),'G2 FIL Reading Scoresheet'!$P103,"")</f>
        <v/>
      </c>
      <c r="P101" s="251">
        <f>'G2 FIL Reading Scoresheet'!$U103</f>
        <v/>
      </c>
      <c r="Q101" s="52">
        <f>CONCATENATE(IF(ISBLANK('G2 MT Reading Scoresheet'!V103),"",CONCATENATE("MT:",TRIM('G2 MT Reading Scoresheet'!V103)))," ",IF(ISBLANK('G2 FIL Reading Scoresheet'!V103),"",CONCATENATE("FIL:",TRIM('G2 FIL Reading Scoresheet'!V103))))</f>
        <v/>
      </c>
    </row>
    <row r="102">
      <c r="A102" s="44">
        <f>A101+1</f>
        <v/>
      </c>
      <c r="B102" s="45">
        <f>IF('G2 MT Reading Scoresheet'!B104&lt;&gt;"",'G2 MT Reading Scoresheet'!B104,"")</f>
        <v/>
      </c>
      <c r="C102" s="46">
        <f>IF('G2 MT Reading Scoresheet'!C104&lt;&gt;"",'G2 MT Reading Scoresheet'!C104,"")</f>
        <v/>
      </c>
      <c r="D102" s="47">
        <f>IF('G2 MT Reading Scoresheet'!D104&lt;&gt;"",'G2 MT Reading Scoresheet'!D104,"")</f>
        <v/>
      </c>
      <c r="E102" s="210">
        <f>'G2 MT Reading Scoresheet'!$J104</f>
        <v/>
      </c>
      <c r="F102" s="246">
        <f>IF(C102&lt;&gt;"",'G2 MT Reading Scoresheet'!$I104/30,"")</f>
        <v/>
      </c>
      <c r="G102" s="246">
        <f>IF(AND($C102&lt;&gt;"",$E102&lt;&gt;"Full Refresher"),'G2 MT Reading Scoresheet'!$Q104,"")</f>
        <v/>
      </c>
      <c r="H102" s="246">
        <f>IF(AND(C102&lt;&gt;"",E102&lt;&gt;"Full Refresher"),'G2 MT Reading Scoresheet'!$R104/6,"")</f>
        <v/>
      </c>
      <c r="I102" s="210">
        <f>IF(AND(D102&lt;&gt;"",F102&lt;&gt;"Full Refresher"),'G2 MT Reading Scoresheet'!$P104,"")</f>
        <v/>
      </c>
      <c r="J102" s="250">
        <f>'G2 MT Reading Scoresheet'!$U104</f>
        <v/>
      </c>
      <c r="K102" s="57">
        <f>'G2 FIL Reading Scoresheet'!$J104</f>
        <v/>
      </c>
      <c r="L102" s="248">
        <f>IF($C102&lt;&gt;"",'G2 FIL Reading Scoresheet'!$I104/30,"")</f>
        <v/>
      </c>
      <c r="M102" s="248">
        <f>IF(AND($C102&lt;&gt;"",$K102&lt;&gt;"Full Refresher"),'G2 FIL Reading Scoresheet'!$Q104,"")</f>
        <v/>
      </c>
      <c r="N102" s="248">
        <f>IF(AND($C102&lt;&gt;"",K102&lt;&gt;"Full Refresher"),'G2 FIL Reading Scoresheet'!$R104/6,"")</f>
        <v/>
      </c>
      <c r="O102" s="57">
        <f>IF(AND(C102&lt;&gt;"",K102&lt;&gt;"Full Refresher"),'G2 FIL Reading Scoresheet'!$P104,"")</f>
        <v/>
      </c>
      <c r="P102" s="251">
        <f>'G2 FIL Reading Scoresheet'!$U104</f>
        <v/>
      </c>
      <c r="Q102" s="48">
        <f>CONCATENATE(IF(ISBLANK('G2 MT Reading Scoresheet'!V104),"",CONCATENATE("MT:",TRIM('G2 MT Reading Scoresheet'!V104)))," ",IF(ISBLANK('G2 FIL Reading Scoresheet'!V104),"",CONCATENATE("FIL:",TRIM('G2 FIL Reading Scoresheet'!V104))))</f>
        <v/>
      </c>
    </row>
    <row r="103">
      <c r="A103" s="43">
        <f>A102+1</f>
        <v/>
      </c>
      <c r="B103" s="49">
        <f>IF('G2 MT Reading Scoresheet'!B105&lt;&gt;"",'G2 MT Reading Scoresheet'!B105,"")</f>
        <v/>
      </c>
      <c r="C103" s="50">
        <f>IF('G2 MT Reading Scoresheet'!C105&lt;&gt;"",'G2 MT Reading Scoresheet'!C105,"")</f>
        <v/>
      </c>
      <c r="D103" s="51">
        <f>IF('G2 MT Reading Scoresheet'!D105&lt;&gt;"",'G2 MT Reading Scoresheet'!D105,"")</f>
        <v/>
      </c>
      <c r="E103" s="210">
        <f>'G2 MT Reading Scoresheet'!$J105</f>
        <v/>
      </c>
      <c r="F103" s="246">
        <f>IF(C103&lt;&gt;"",'G2 MT Reading Scoresheet'!$I105/30,"")</f>
        <v/>
      </c>
      <c r="G103" s="246">
        <f>IF(AND($C103&lt;&gt;"",$E103&lt;&gt;"Full Refresher"),'G2 MT Reading Scoresheet'!$Q105,"")</f>
        <v/>
      </c>
      <c r="H103" s="246">
        <f>IF(AND(C103&lt;&gt;"",E103&lt;&gt;"Full Refresher"),'G2 MT Reading Scoresheet'!$R105/6,"")</f>
        <v/>
      </c>
      <c r="I103" s="210">
        <f>IF(AND(D103&lt;&gt;"",F103&lt;&gt;"Full Refresher"),'G2 MT Reading Scoresheet'!$P105,"")</f>
        <v/>
      </c>
      <c r="J103" s="250">
        <f>'G2 MT Reading Scoresheet'!$U105</f>
        <v/>
      </c>
      <c r="K103" s="57">
        <f>'G2 FIL Reading Scoresheet'!$J105</f>
        <v/>
      </c>
      <c r="L103" s="248">
        <f>IF($C103&lt;&gt;"",'G2 FIL Reading Scoresheet'!$I105/30,"")</f>
        <v/>
      </c>
      <c r="M103" s="248">
        <f>IF(AND($C103&lt;&gt;"",$K103&lt;&gt;"Full Refresher"),'G2 FIL Reading Scoresheet'!$Q105,"")</f>
        <v/>
      </c>
      <c r="N103" s="248">
        <f>IF(AND($C103&lt;&gt;"",K103&lt;&gt;"Full Refresher"),'G2 FIL Reading Scoresheet'!$R105/6,"")</f>
        <v/>
      </c>
      <c r="O103" s="57">
        <f>IF(AND(C103&lt;&gt;"",K103&lt;&gt;"Full Refresher"),'G2 FIL Reading Scoresheet'!$P105,"")</f>
        <v/>
      </c>
      <c r="P103" s="251">
        <f>'G2 FIL Reading Scoresheet'!$U105</f>
        <v/>
      </c>
      <c r="Q103" s="52">
        <f>CONCATENATE(IF(ISBLANK('G2 MT Reading Scoresheet'!V105),"",CONCATENATE("MT:",TRIM('G2 MT Reading Scoresheet'!V105)))," ",IF(ISBLANK('G2 FIL Reading Scoresheet'!V105),"",CONCATENATE("FIL:",TRIM('G2 FIL Reading Scoresheet'!V105))))</f>
        <v/>
      </c>
    </row>
    <row r="104">
      <c r="A104" s="44">
        <f>A103+1</f>
        <v/>
      </c>
      <c r="B104" s="45">
        <f>IF('G2 MT Reading Scoresheet'!B106&lt;&gt;"",'G2 MT Reading Scoresheet'!B106,"")</f>
        <v/>
      </c>
      <c r="C104" s="46">
        <f>IF('G2 MT Reading Scoresheet'!C106&lt;&gt;"",'G2 MT Reading Scoresheet'!C106,"")</f>
        <v/>
      </c>
      <c r="D104" s="47">
        <f>IF('G2 MT Reading Scoresheet'!D106&lt;&gt;"",'G2 MT Reading Scoresheet'!D106,"")</f>
        <v/>
      </c>
      <c r="E104" s="210">
        <f>'G2 MT Reading Scoresheet'!$J106</f>
        <v/>
      </c>
      <c r="F104" s="246">
        <f>IF(C104&lt;&gt;"",'G2 MT Reading Scoresheet'!$I106/30,"")</f>
        <v/>
      </c>
      <c r="G104" s="246">
        <f>IF(AND($C104&lt;&gt;"",$E104&lt;&gt;"Full Refresher"),'G2 MT Reading Scoresheet'!$Q106,"")</f>
        <v/>
      </c>
      <c r="H104" s="246">
        <f>IF(AND(C104&lt;&gt;"",E104&lt;&gt;"Full Refresher"),'G2 MT Reading Scoresheet'!$R106/6,"")</f>
        <v/>
      </c>
      <c r="I104" s="210">
        <f>IF(AND(D104&lt;&gt;"",F104&lt;&gt;"Full Refresher"),'G2 MT Reading Scoresheet'!$P106,"")</f>
        <v/>
      </c>
      <c r="J104" s="250">
        <f>'G2 MT Reading Scoresheet'!$U106</f>
        <v/>
      </c>
      <c r="K104" s="57">
        <f>'G2 FIL Reading Scoresheet'!$J106</f>
        <v/>
      </c>
      <c r="L104" s="248">
        <f>IF($C104&lt;&gt;"",'G2 FIL Reading Scoresheet'!$I106/30,"")</f>
        <v/>
      </c>
      <c r="M104" s="248">
        <f>IF(AND($C104&lt;&gt;"",$K104&lt;&gt;"Full Refresher"),'G2 FIL Reading Scoresheet'!$Q106,"")</f>
        <v/>
      </c>
      <c r="N104" s="248">
        <f>IF(AND($C104&lt;&gt;"",K104&lt;&gt;"Full Refresher"),'G2 FIL Reading Scoresheet'!$R106/6,"")</f>
        <v/>
      </c>
      <c r="O104" s="57">
        <f>IF(AND(C104&lt;&gt;"",K104&lt;&gt;"Full Refresher"),'G2 FIL Reading Scoresheet'!$P106,"")</f>
        <v/>
      </c>
      <c r="P104" s="251">
        <f>'G2 FIL Reading Scoresheet'!$U106</f>
        <v/>
      </c>
      <c r="Q104" s="48">
        <f>CONCATENATE(IF(ISBLANK('G2 MT Reading Scoresheet'!V106),"",CONCATENATE("MT:",TRIM('G2 MT Reading Scoresheet'!V106)))," ",IF(ISBLANK('G2 FIL Reading Scoresheet'!V106),"",CONCATENATE("FIL:",TRIM('G2 FIL Reading Scoresheet'!V106))))</f>
        <v/>
      </c>
    </row>
    <row r="105">
      <c r="A105" s="43">
        <f>A104+1</f>
        <v/>
      </c>
      <c r="B105" s="49">
        <f>IF('G2 MT Reading Scoresheet'!B107&lt;&gt;"",'G2 MT Reading Scoresheet'!B107,"")</f>
        <v/>
      </c>
      <c r="C105" s="50">
        <f>IF('G2 MT Reading Scoresheet'!C107&lt;&gt;"",'G2 MT Reading Scoresheet'!C107,"")</f>
        <v/>
      </c>
      <c r="D105" s="51">
        <f>IF('G2 MT Reading Scoresheet'!D107&lt;&gt;"",'G2 MT Reading Scoresheet'!D107,"")</f>
        <v/>
      </c>
      <c r="E105" s="210">
        <f>'G2 MT Reading Scoresheet'!$J107</f>
        <v/>
      </c>
      <c r="F105" s="246">
        <f>IF(C105&lt;&gt;"",'G2 MT Reading Scoresheet'!$I107/30,"")</f>
        <v/>
      </c>
      <c r="G105" s="246">
        <f>IF(AND($C105&lt;&gt;"",$E105&lt;&gt;"Full Refresher"),'G2 MT Reading Scoresheet'!$Q107,"")</f>
        <v/>
      </c>
      <c r="H105" s="246">
        <f>IF(AND(C105&lt;&gt;"",E105&lt;&gt;"Full Refresher"),'G2 MT Reading Scoresheet'!$R107/6,"")</f>
        <v/>
      </c>
      <c r="I105" s="210">
        <f>IF(AND(D105&lt;&gt;"",F105&lt;&gt;"Full Refresher"),'G2 MT Reading Scoresheet'!$P107,"")</f>
        <v/>
      </c>
      <c r="J105" s="250">
        <f>'G2 MT Reading Scoresheet'!$U107</f>
        <v/>
      </c>
      <c r="K105" s="57">
        <f>'G2 FIL Reading Scoresheet'!$J107</f>
        <v/>
      </c>
      <c r="L105" s="248">
        <f>IF($C105&lt;&gt;"",'G2 FIL Reading Scoresheet'!$I107/30,"")</f>
        <v/>
      </c>
      <c r="M105" s="248">
        <f>IF(AND($C105&lt;&gt;"",$K105&lt;&gt;"Full Refresher"),'G2 FIL Reading Scoresheet'!$Q107,"")</f>
        <v/>
      </c>
      <c r="N105" s="248">
        <f>IF(AND($C105&lt;&gt;"",K105&lt;&gt;"Full Refresher"),'G2 FIL Reading Scoresheet'!$R107/6,"")</f>
        <v/>
      </c>
      <c r="O105" s="57">
        <f>IF(AND(C105&lt;&gt;"",K105&lt;&gt;"Full Refresher"),'G2 FIL Reading Scoresheet'!$P107,"")</f>
        <v/>
      </c>
      <c r="P105" s="251">
        <f>'G2 FIL Reading Scoresheet'!$U107</f>
        <v/>
      </c>
      <c r="Q105" s="52">
        <f>CONCATENATE(IF(ISBLANK('G2 MT Reading Scoresheet'!V107),"",CONCATENATE("MT:",TRIM('G2 MT Reading Scoresheet'!V107)))," ",IF(ISBLANK('G2 FIL Reading Scoresheet'!V107),"",CONCATENATE("FIL:",TRIM('G2 FIL Reading Scoresheet'!V107))))</f>
        <v/>
      </c>
    </row>
    <row r="106">
      <c r="A106" s="44">
        <f>A105+1</f>
        <v/>
      </c>
      <c r="B106" s="45">
        <f>IF('G2 MT Reading Scoresheet'!B108&lt;&gt;"",'G2 MT Reading Scoresheet'!B108,"")</f>
        <v/>
      </c>
      <c r="C106" s="46">
        <f>IF('G2 MT Reading Scoresheet'!C108&lt;&gt;"",'G2 MT Reading Scoresheet'!C108,"")</f>
        <v/>
      </c>
      <c r="D106" s="47">
        <f>IF('G2 MT Reading Scoresheet'!D108&lt;&gt;"",'G2 MT Reading Scoresheet'!D108,"")</f>
        <v/>
      </c>
      <c r="E106" s="210">
        <f>'G2 MT Reading Scoresheet'!$J108</f>
        <v/>
      </c>
      <c r="F106" s="246">
        <f>IF(C106&lt;&gt;"",'G2 MT Reading Scoresheet'!$I108/30,"")</f>
        <v/>
      </c>
      <c r="G106" s="246">
        <f>IF(AND($C106&lt;&gt;"",$E106&lt;&gt;"Full Refresher"),'G2 MT Reading Scoresheet'!$Q108,"")</f>
        <v/>
      </c>
      <c r="H106" s="246">
        <f>IF(AND(C106&lt;&gt;"",E106&lt;&gt;"Full Refresher"),'G2 MT Reading Scoresheet'!$R108/6,"")</f>
        <v/>
      </c>
      <c r="I106" s="210">
        <f>IF(AND(D106&lt;&gt;"",F106&lt;&gt;"Full Refresher"),'G2 MT Reading Scoresheet'!$P108,"")</f>
        <v/>
      </c>
      <c r="J106" s="250">
        <f>'G2 MT Reading Scoresheet'!$U108</f>
        <v/>
      </c>
      <c r="K106" s="57">
        <f>'G2 FIL Reading Scoresheet'!$J108</f>
        <v/>
      </c>
      <c r="L106" s="248">
        <f>IF($C106&lt;&gt;"",'G2 FIL Reading Scoresheet'!$I108/30,"")</f>
        <v/>
      </c>
      <c r="M106" s="248">
        <f>IF(AND($C106&lt;&gt;"",$K106&lt;&gt;"Full Refresher"),'G2 FIL Reading Scoresheet'!$Q108,"")</f>
        <v/>
      </c>
      <c r="N106" s="248">
        <f>IF(AND($C106&lt;&gt;"",K106&lt;&gt;"Full Refresher"),'G2 FIL Reading Scoresheet'!$R108/6,"")</f>
        <v/>
      </c>
      <c r="O106" s="57">
        <f>IF(AND(C106&lt;&gt;"",K106&lt;&gt;"Full Refresher"),'G2 FIL Reading Scoresheet'!$P108,"")</f>
        <v/>
      </c>
      <c r="P106" s="251">
        <f>'G2 FIL Reading Scoresheet'!$U108</f>
        <v/>
      </c>
      <c r="Q106" s="48">
        <f>CONCATENATE(IF(ISBLANK('G2 MT Reading Scoresheet'!V108),"",CONCATENATE("MT:",TRIM('G2 MT Reading Scoresheet'!V108)))," ",IF(ISBLANK('G2 FIL Reading Scoresheet'!V108),"",CONCATENATE("FIL:",TRIM('G2 FIL Reading Scoresheet'!V108))))</f>
        <v/>
      </c>
    </row>
    <row r="107">
      <c r="A107" s="43">
        <f>A106+1</f>
        <v/>
      </c>
      <c r="B107" s="49">
        <f>IF('G2 MT Reading Scoresheet'!B109&lt;&gt;"",'G2 MT Reading Scoresheet'!B109,"")</f>
        <v/>
      </c>
      <c r="C107" s="50">
        <f>IF('G2 MT Reading Scoresheet'!C109&lt;&gt;"",'G2 MT Reading Scoresheet'!C109,"")</f>
        <v/>
      </c>
      <c r="D107" s="51">
        <f>IF('G2 MT Reading Scoresheet'!D109&lt;&gt;"",'G2 MT Reading Scoresheet'!D109,"")</f>
        <v/>
      </c>
      <c r="E107" s="210">
        <f>'G2 MT Reading Scoresheet'!$J109</f>
        <v/>
      </c>
      <c r="F107" s="246">
        <f>IF(C107&lt;&gt;"",'G2 MT Reading Scoresheet'!$I109/30,"")</f>
        <v/>
      </c>
      <c r="G107" s="246">
        <f>IF(AND($C107&lt;&gt;"",$E107&lt;&gt;"Full Refresher"),'G2 MT Reading Scoresheet'!$Q109,"")</f>
        <v/>
      </c>
      <c r="H107" s="246">
        <f>IF(AND(C107&lt;&gt;"",E107&lt;&gt;"Full Refresher"),'G2 MT Reading Scoresheet'!$R109/6,"")</f>
        <v/>
      </c>
      <c r="I107" s="210">
        <f>IF(AND(D107&lt;&gt;"",F107&lt;&gt;"Full Refresher"),'G2 MT Reading Scoresheet'!$P109,"")</f>
        <v/>
      </c>
      <c r="J107" s="250">
        <f>'G2 MT Reading Scoresheet'!$U109</f>
        <v/>
      </c>
      <c r="K107" s="57">
        <f>'G2 FIL Reading Scoresheet'!$J109</f>
        <v/>
      </c>
      <c r="L107" s="248">
        <f>IF($C107&lt;&gt;"",'G2 FIL Reading Scoresheet'!$I109/30,"")</f>
        <v/>
      </c>
      <c r="M107" s="248">
        <f>IF(AND($C107&lt;&gt;"",$K107&lt;&gt;"Full Refresher"),'G2 FIL Reading Scoresheet'!$Q109,"")</f>
        <v/>
      </c>
      <c r="N107" s="248">
        <f>IF(AND($C107&lt;&gt;"",K107&lt;&gt;"Full Refresher"),'G2 FIL Reading Scoresheet'!$R109/6,"")</f>
        <v/>
      </c>
      <c r="O107" s="57">
        <f>IF(AND(C107&lt;&gt;"",K107&lt;&gt;"Full Refresher"),'G2 FIL Reading Scoresheet'!$P109,"")</f>
        <v/>
      </c>
      <c r="P107" s="251">
        <f>'G2 FIL Reading Scoresheet'!$U109</f>
        <v/>
      </c>
      <c r="Q107" s="52">
        <f>CONCATENATE(IF(ISBLANK('G2 MT Reading Scoresheet'!V109),"",CONCATENATE("MT:",TRIM('G2 MT Reading Scoresheet'!V109)))," ",IF(ISBLANK('G2 FIL Reading Scoresheet'!V109),"",CONCATENATE("FIL:",TRIM('G2 FIL Reading Scoresheet'!V109))))</f>
        <v/>
      </c>
    </row>
    <row r="108" ht="15" customHeight="1" s="346" thickBot="1">
      <c r="A108" s="252" t="n">
        <v>100</v>
      </c>
      <c r="B108" s="253">
        <f>IF('G2 MT Reading Scoresheet'!B110&lt;&gt;"",'G2 MT Reading Scoresheet'!B110,"")</f>
        <v/>
      </c>
      <c r="C108" s="53">
        <f>IF('G2 MT Reading Scoresheet'!C110&lt;&gt;"",'G2 MT Reading Scoresheet'!C110,"")</f>
        <v/>
      </c>
      <c r="D108" s="54">
        <f>IF('G2 MT Reading Scoresheet'!D110&lt;&gt;"",'G2 MT Reading Scoresheet'!D110,"")</f>
        <v/>
      </c>
      <c r="E108" s="211">
        <f>'G2 MT Reading Scoresheet'!$J110</f>
        <v/>
      </c>
      <c r="F108" s="254">
        <f>IF(C108&lt;&gt;"",'G2 MT Reading Scoresheet'!$I$11/30,"")</f>
        <v/>
      </c>
      <c r="G108" s="254">
        <f>IF(AND($C108&lt;&gt;"",$E108&lt;&gt;"Full Refresher"),'G2 MT Reading Scoresheet'!$Q110,"")</f>
        <v/>
      </c>
      <c r="H108" s="254">
        <f>IF(AND(C108&lt;&gt;"",E108&lt;&gt;"Full Refresher"),'G2 MT Reading Scoresheet'!$R110/6,"")</f>
        <v/>
      </c>
      <c r="I108" s="211">
        <f>IF(AND(D108&lt;&gt;"",F108&lt;&gt;"Full Refresher"),'G2 MT Reading Scoresheet'!$P110,"")</f>
        <v/>
      </c>
      <c r="J108" s="255">
        <f>'G2 MT Reading Scoresheet'!$U110</f>
        <v/>
      </c>
      <c r="K108" s="58">
        <f>'G2 FIL Reading Scoresheet'!$J110</f>
        <v/>
      </c>
      <c r="L108" s="256">
        <f>IF($C108&lt;&gt;"",'G2 FIL Reading Scoresheet'!$I110/30,"")</f>
        <v/>
      </c>
      <c r="M108" s="256">
        <f>IF(AND($C108&lt;&gt;"",$K108&lt;&gt;"Full Refresher"),'G2 FIL Reading Scoresheet'!$Q110,"")</f>
        <v/>
      </c>
      <c r="N108" s="256">
        <f>IF(AND($C108&lt;&gt;"",K108&lt;&gt;"Full Refresher"),'G2 FIL Reading Scoresheet'!$R110/6,"")</f>
        <v/>
      </c>
      <c r="O108" s="58">
        <f>IF(AND(C108&lt;&gt;"",K108&lt;&gt;"Full Refresher"),'G2 FIL Reading Scoresheet'!$P110,"")</f>
        <v/>
      </c>
      <c r="P108" s="257">
        <f>'G2 FIL Reading Scoresheet'!$U110</f>
        <v/>
      </c>
      <c r="Q108" s="55">
        <f>CONCATENATE(IF(ISBLANK('G2 MT Reading Scoresheet'!V110),"",CONCATENATE("MT:",TRIM('G2 MT Reading Scoresheet'!V110)))," ",IF(ISBLANK('G2 FIL Reading Scoresheet'!V110),"",CONCATENATE("FIL:",TRIM('G2 FIL Reading Scoresheet'!V110))))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8:R8"/>
  <mergeCells count="15">
    <mergeCell ref="K7:L7"/>
    <mergeCell ref="C6:D6"/>
    <mergeCell ref="C7:D7"/>
    <mergeCell ref="A7:B7"/>
    <mergeCell ref="E5:Q5"/>
    <mergeCell ref="E7:F7"/>
    <mergeCell ref="Q6:Q8"/>
    <mergeCell ref="K6:P6"/>
    <mergeCell ref="A5:B5"/>
    <mergeCell ref="C5:D5"/>
    <mergeCell ref="E6:J6"/>
    <mergeCell ref="M7:O7"/>
    <mergeCell ref="J7:J8"/>
    <mergeCell ref="G7:I7"/>
    <mergeCell ref="A6:B6"/>
  </mergeCells>
  <conditionalFormatting sqref="C5">
    <cfRule type="containsText" priority="7" operator="containsText" dxfId="6" text="[enter school school id here]">
      <formula>NOT(ISERROR(SEARCH("[enter school school id here]",C5)))</formula>
    </cfRule>
  </conditionalFormatting>
  <conditionalFormatting sqref="C6">
    <cfRule type="containsText" priority="8" operator="containsText" dxfId="6" text="[enter teacher name here]">
      <formula>NOT(ISERROR(SEARCH("[enter teacher name here]",C6)))</formula>
    </cfRule>
  </conditionalFormatting>
  <conditionalFormatting sqref="E9:E109">
    <cfRule type="containsText" priority="6" operator="containsText" dxfId="0" text="Full">
      <formula>NOT(ISERROR(SEARCH("Full",E9)))</formula>
    </cfRule>
  </conditionalFormatting>
  <conditionalFormatting sqref="J9:J107">
    <cfRule type="containsText" priority="5" operator="containsText" dxfId="0" text="Low">
      <formula>NOT(ISERROR(SEARCH("Low",J9)))</formula>
    </cfRule>
  </conditionalFormatting>
  <conditionalFormatting sqref="J9:J108">
    <cfRule type="containsText" priority="4" operator="containsText" dxfId="0" text="High">
      <formula>NOT(ISERROR(SEARCH("High",J9)))</formula>
    </cfRule>
  </conditionalFormatting>
  <conditionalFormatting sqref="K9:K108">
    <cfRule type="containsText" priority="3" operator="containsText" dxfId="0" text="Full">
      <formula>NOT(ISERROR(SEARCH("Full",K9)))</formula>
    </cfRule>
  </conditionalFormatting>
  <conditionalFormatting sqref="P9:P108">
    <cfRule type="containsText" priority="1" operator="containsText" dxfId="0" text="High">
      <formula>NOT(ISERROR(SEARCH("High",P9)))</formula>
    </cfRule>
    <cfRule type="containsText" priority="2" operator="containsText" dxfId="0" text="Low">
      <formula>NOT(ISERROR(SEARCH("Low",P9)))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S25"/>
  <sheetViews>
    <sheetView topLeftCell="A35" zoomScale="96" zoomScaleNormal="96" workbookViewId="0">
      <selection activeCell="I4" sqref="I4"/>
    </sheetView>
  </sheetViews>
  <sheetFormatPr baseColWidth="8" defaultColWidth="0" defaultRowHeight="14.4"/>
  <cols>
    <col width="12.33203125" customWidth="1" style="346" min="1" max="1"/>
    <col width="15.33203125" customWidth="1" style="346" min="2" max="2"/>
    <col width="17.109375" customWidth="1" style="346" min="3" max="3"/>
    <col width="13.6640625" customWidth="1" style="346" min="4" max="4"/>
    <col width="10" customWidth="1" style="346" min="5" max="5"/>
    <col width="9.88671875" customWidth="1" style="346" min="6" max="6"/>
    <col width="10.44140625" customWidth="1" style="346" min="7" max="7"/>
    <col width="10.33203125" customWidth="1" style="346" min="8" max="8"/>
    <col width="12.88671875" customWidth="1" style="346" min="9" max="9"/>
    <col width="11.109375" customWidth="1" style="346" min="10" max="10"/>
    <col width="9.6640625" customWidth="1" style="346" min="11" max="12"/>
    <col width="11.6640625" customWidth="1" style="346" min="13" max="13"/>
    <col width="10.44140625" customWidth="1" style="346" min="14" max="14"/>
    <col width="9.6640625" customWidth="1" style="346" min="15" max="17"/>
    <col width="11.33203125" customWidth="1" style="346" min="18" max="18"/>
    <col width="10.6640625" customWidth="1" style="346" min="19" max="19"/>
    <col width="8.88671875" customWidth="1" style="346" min="20" max="20"/>
    <col hidden="1" width="13" customWidth="1" style="346" min="21" max="21"/>
    <col hidden="1" width="8.88671875" customWidth="1" style="346" min="22" max="23"/>
    <col hidden="1" width="8.88671875" customWidth="1" style="346" min="24" max="16384"/>
  </cols>
  <sheetData>
    <row r="1">
      <c r="A1" t="inlineStr">
        <is>
          <t>CRLA3v1</t>
        </is>
      </c>
    </row>
    <row r="2" ht="15.6" customHeight="1" s="346">
      <c r="A2" s="347" t="inlineStr">
        <is>
          <t>GRADE 2 Assessment CLASS SUMMARY</t>
        </is>
      </c>
    </row>
    <row r="4">
      <c r="A4" s="345" t="inlineStr">
        <is>
          <t>SCHOOL ID :</t>
        </is>
      </c>
      <c r="C4" s="3">
        <f>'G2 MT Reading Scoresheet'!C4</f>
        <v/>
      </c>
    </row>
    <row r="5" ht="15" customHeight="1" s="346" thickBot="1">
      <c r="A5" s="356" t="inlineStr">
        <is>
          <t>SCHOOL NAME:</t>
        </is>
      </c>
      <c r="B5" s="355" t="n"/>
      <c r="C5" s="354">
        <f>'G2 MT Reading Scoresheet'!C5</f>
        <v/>
      </c>
      <c r="D5" s="355" t="n"/>
      <c r="E5" s="355" t="n"/>
    </row>
    <row r="6" ht="14.4" customHeight="1" s="346">
      <c r="A6" s="363" t="inlineStr">
        <is>
          <t>Grade</t>
        </is>
      </c>
      <c r="B6" s="362" t="n"/>
      <c r="C6" s="362" t="n"/>
      <c r="D6" s="362" t="inlineStr">
        <is>
          <t>Language</t>
        </is>
      </c>
      <c r="E6" s="362" t="inlineStr">
        <is>
          <t>Sex</t>
        </is>
      </c>
      <c r="F6" s="365" t="inlineStr">
        <is>
          <t>Number of Learners Enrolled</t>
        </is>
      </c>
      <c r="G6" s="360" t="inlineStr">
        <is>
          <t>Number of Learners Assessed</t>
        </is>
      </c>
      <c r="H6" s="357" t="inlineStr">
        <is>
          <t>Assessment Part 1 Reading Level</t>
        </is>
      </c>
      <c r="I6" s="358" t="n"/>
      <c r="J6" s="358" t="n"/>
      <c r="K6" s="359" t="n"/>
      <c r="L6" s="357" t="inlineStr">
        <is>
          <t>Assessment Part 2 Average Score</t>
        </is>
      </c>
      <c r="M6" s="358" t="n"/>
      <c r="N6" s="359" t="n"/>
      <c r="O6" s="215" t="n"/>
      <c r="P6" s="215" t="n"/>
      <c r="Q6" s="366" t="inlineStr">
        <is>
          <t>READING PROFILE</t>
        </is>
      </c>
      <c r="R6" s="358" t="n"/>
      <c r="S6" s="359" t="n"/>
    </row>
    <row r="7" ht="36" customHeight="1" s="346">
      <c r="A7" s="364" t="n"/>
      <c r="B7" s="245" t="inlineStr">
        <is>
          <t>Section</t>
        </is>
      </c>
      <c r="C7" s="245" t="inlineStr">
        <is>
          <t>Teacher</t>
        </is>
      </c>
      <c r="D7" s="361" t="n"/>
      <c r="E7" s="361" t="n"/>
      <c r="F7" s="361" t="n"/>
      <c r="G7" s="361" t="n"/>
      <c r="H7" s="193" t="inlineStr">
        <is>
          <t>Full Refresher</t>
        </is>
      </c>
      <c r="I7" s="193" t="inlineStr">
        <is>
          <t>Moderate Refresher</t>
        </is>
      </c>
      <c r="J7" s="193" t="inlineStr">
        <is>
          <t>Light Refresher</t>
        </is>
      </c>
      <c r="K7" s="193" t="inlineStr">
        <is>
          <t>Grade Ready</t>
        </is>
      </c>
      <c r="L7" s="193" t="inlineStr">
        <is>
          <t>Reading Fluency</t>
        </is>
      </c>
      <c r="M7" s="193" t="inlineStr">
        <is>
          <t>Reading Comprehension</t>
        </is>
      </c>
      <c r="N7" s="193" t="inlineStr">
        <is>
          <t>Ave. WPM</t>
        </is>
      </c>
      <c r="O7" s="216" t="inlineStr">
        <is>
          <t>Low Emerging Reader</t>
        </is>
      </c>
      <c r="P7" s="216" t="inlineStr">
        <is>
          <t>High Emerging Reader</t>
        </is>
      </c>
      <c r="Q7" s="216" t="inlineStr">
        <is>
          <t>Developing Reader</t>
        </is>
      </c>
      <c r="R7" s="216" t="inlineStr">
        <is>
          <t>Transitioning Reader</t>
        </is>
      </c>
      <c r="S7" s="216" t="inlineStr">
        <is>
          <t>Reading At Grade Level</t>
        </is>
      </c>
    </row>
    <row r="8" ht="25.2" customHeight="1" s="346">
      <c r="A8" s="176" t="inlineStr">
        <is>
          <t>Grade 2</t>
        </is>
      </c>
      <c r="B8" s="177">
        <f>IF('G2 MT Reading Scoresheet'!$C$8&lt;&gt;"",'G2 MT Reading Scoresheet'!$C$8,"")</f>
        <v/>
      </c>
      <c r="C8" s="177">
        <f>IF('G2 MT Reading Scoresheet'!$C$6&lt;&gt;"",'G2 MT Reading Scoresheet'!$C$6," ")</f>
        <v/>
      </c>
      <c r="D8" s="177">
        <f>IF('G2 MT Reading Scoresheet'!C9 &lt;&gt;"",'G2 MT Reading Scoresheet'!C9,"")</f>
        <v/>
      </c>
      <c r="E8" s="178" t="inlineStr">
        <is>
          <t>Male</t>
        </is>
      </c>
      <c r="F8" s="179">
        <f>'G2 MT Reading Scoresheet'!D6</f>
        <v/>
      </c>
      <c r="G8" s="180">
        <f>COUNTIF('G2 MT Reading Scoresheet'!$D$11:$D$110,$E8)</f>
        <v/>
      </c>
      <c r="H8" s="180">
        <f>COUNTIFS('Class Record'!$E$9:$E$108,H$7,'Class Record'!$D$9:$D$108,$E8)</f>
        <v/>
      </c>
      <c r="I8" s="180">
        <f>COUNTIFS('Class Record'!$E$9:$E$108,I$7,'Class Record'!$D$9:$D$108,$E8)</f>
        <v/>
      </c>
      <c r="J8" s="180">
        <f>COUNTIFS('Class Record'!$E$9:$E$108,J$7,'Class Record'!$D$9:$D$108,$E8)</f>
        <v/>
      </c>
      <c r="K8" s="180">
        <f>COUNTIFS('Class Record'!$E$9:$E$108,K$7,'Class Record'!$D$9:$D$108,$E8)</f>
        <v/>
      </c>
      <c r="L8" s="259">
        <f>IFERROR(AVERAGEIFS('Class Record'!G$9:G$108,'Class Record'!$D$9:$D$108,$E8),"")</f>
        <v/>
      </c>
      <c r="M8" s="259">
        <f>IFERROR(AVERAGEIFS('Class Record'!H$9:H$108,'Class Record'!$D$9:$D$108,$E8),"")</f>
        <v/>
      </c>
      <c r="N8" s="260">
        <f>IFERROR(AVERAGEIFS('Class Record'!I$9:I$108,'Class Record'!$D$9:$D$108,$E8),"")</f>
        <v/>
      </c>
      <c r="O8" s="181">
        <f>COUNTIFS('Class Record'!$J$9:$J$108,O$7,'Class Record'!$D$9:$D$108,$E8)</f>
        <v/>
      </c>
      <c r="P8" s="181">
        <f>COUNTIFS('Class Record'!$J$9:$J$108,P$7,'Class Record'!$D$9:$D$108,$E8)</f>
        <v/>
      </c>
      <c r="Q8" s="181">
        <f>COUNTIFS('Class Record'!$J$9:$J$108,Q$7,'Class Record'!$D$9:$D$108,$E8)</f>
        <v/>
      </c>
      <c r="R8" s="181">
        <f>COUNTIFS('Class Record'!$J$9:$J$108,R$7,'Class Record'!$D$9:$D$108,$E8)</f>
        <v/>
      </c>
      <c r="S8" s="181">
        <f>COUNTIFS('Class Record'!$J$9:$J$108,S$7,'Class Record'!$D$9:$D$108,$E8)</f>
        <v/>
      </c>
    </row>
    <row r="9" ht="25.2" customHeight="1" s="346">
      <c r="A9" s="176">
        <f>A8</f>
        <v/>
      </c>
      <c r="B9" s="177">
        <f>B8</f>
        <v/>
      </c>
      <c r="C9" s="177">
        <f>C8</f>
        <v/>
      </c>
      <c r="D9" s="177">
        <f>D8</f>
        <v/>
      </c>
      <c r="E9" s="178" t="inlineStr">
        <is>
          <t>Female</t>
        </is>
      </c>
      <c r="F9" s="179">
        <f>'G2 MT Reading Scoresheet'!E6</f>
        <v/>
      </c>
      <c r="G9" s="182">
        <f>COUNTIF('G2 MT Reading Scoresheet'!$D$11:$D$110,E9)</f>
        <v/>
      </c>
      <c r="H9" s="180">
        <f>COUNTIFS('Class Record'!$E$9:$E$108,H$7,'Class Record'!$D$9:$D$108,$E9)</f>
        <v/>
      </c>
      <c r="I9" s="180">
        <f>COUNTIFS('Class Record'!$E$9:$E$108,I$7,'Class Record'!$D$9:$D$108,$E9)</f>
        <v/>
      </c>
      <c r="J9" s="180">
        <f>COUNTIFS('Class Record'!$E$9:$E$108,J$7,'Class Record'!$D$9:$D$108,$E9)</f>
        <v/>
      </c>
      <c r="K9" s="180">
        <f>COUNTIFS('Class Record'!$E$9:$E$108,K$7,'Class Record'!$D$9:$D$108,$E9)</f>
        <v/>
      </c>
      <c r="L9" s="259">
        <f>IFERROR(AVERAGEIFS('Class Record'!G$9:G$108,'Class Record'!$D$9:$D$108,$E9),"")</f>
        <v/>
      </c>
      <c r="M9" s="259">
        <f>IFERROR(AVERAGEIFS('Class Record'!H$9:H$108,'Class Record'!$D$9:$D$108,$E9),"")</f>
        <v/>
      </c>
      <c r="N9" s="260">
        <f>IFERROR(AVERAGEIFS('Class Record'!I$9:I$108,'Class Record'!$D$9:$D$108,$E9),"")</f>
        <v/>
      </c>
      <c r="O9" s="181">
        <f>COUNTIFS('Class Record'!$J$9:$J$108,O$7,'Class Record'!$D$9:$D$108,$E9)</f>
        <v/>
      </c>
      <c r="P9" s="181">
        <f>COUNTIFS('Class Record'!$J$9:$J$108,P$7,'Class Record'!$D$9:$D$108,$E9)</f>
        <v/>
      </c>
      <c r="Q9" s="181">
        <f>COUNTIFS('Class Record'!$J$9:$J$108,Q$7,'Class Record'!$D$9:$D$108,$E9)</f>
        <v/>
      </c>
      <c r="R9" s="181">
        <f>COUNTIFS('Class Record'!$J$9:$J$108,R$7,'Class Record'!$D$9:$D$108,$E9)</f>
        <v/>
      </c>
      <c r="S9" s="181">
        <f>COUNTIFS('Class Record'!$J$9:$J$108,S$7,'Class Record'!$D$9:$D$108,$E9)</f>
        <v/>
      </c>
    </row>
    <row r="10" ht="25.2" customHeight="1" s="346">
      <c r="A10" s="176">
        <f>A9</f>
        <v/>
      </c>
      <c r="B10" s="177">
        <f>B9</f>
        <v/>
      </c>
      <c r="C10" s="177">
        <f>C9</f>
        <v/>
      </c>
      <c r="D10" s="177" t="inlineStr">
        <is>
          <t>Filipino</t>
        </is>
      </c>
      <c r="E10" s="178" t="inlineStr">
        <is>
          <t>Male</t>
        </is>
      </c>
      <c r="F10" s="179">
        <f>'G2 FIL Reading Scoresheet'!$D$6</f>
        <v/>
      </c>
      <c r="G10" s="180">
        <f>COUNTIF('G2 FIL Reading Scoresheet'!$D$11:$D$110,$E10)</f>
        <v/>
      </c>
      <c r="H10" s="180">
        <f>COUNTIFS('Class Record'!$K$9:$K$108,H$7,'Class Record'!$D$9:$D$108,$E10)</f>
        <v/>
      </c>
      <c r="I10" s="180">
        <f>COUNTIFS('Class Record'!$K$9:$K$108,I$7,'Class Record'!$D$9:$D$108,$E10)</f>
        <v/>
      </c>
      <c r="J10" s="180">
        <f>COUNTIFS('Class Record'!$K$9:$K$108,J$7,'Class Record'!$D$9:$D$108,$E10)</f>
        <v/>
      </c>
      <c r="K10" s="180">
        <f>COUNTIFS('Class Record'!$K$9:$K$108,K$7,'Class Record'!$D$9:$D$108,$E10)</f>
        <v/>
      </c>
      <c r="L10" s="259">
        <f>IFERROR(AVERAGEIFS('Class Record'!M$9:M$108,'Class Record'!$D$9:$D$108,$E10),"")</f>
        <v/>
      </c>
      <c r="M10" s="259">
        <f>IFERROR(AVERAGEIFS('Class Record'!N$9:N$108,'Class Record'!$D$9:$D$108,$E10),"")</f>
        <v/>
      </c>
      <c r="N10" s="260">
        <f>IFERROR(AVERAGEIFS('Class Record'!O$9:O$108,'Class Record'!$D$9:$D$108,$E10),"")</f>
        <v/>
      </c>
      <c r="O10" s="181">
        <f>COUNTIFS('Class Record'!$P$9:$P$108,O$7,'Class Record'!$D$9:$D$108,$E10)</f>
        <v/>
      </c>
      <c r="P10" s="181">
        <f>COUNTIFS('Class Record'!$P$9:$P$108,P$7,'Class Record'!$D$9:$D$108,$E10)</f>
        <v/>
      </c>
      <c r="Q10" s="181">
        <f>COUNTIFS('Class Record'!$P$9:$P$108,Q$7,'Class Record'!$D$9:$D$108,$E10)</f>
        <v/>
      </c>
      <c r="R10" s="181">
        <f>COUNTIFS('Class Record'!$P$9:$P$108,R$7,'Class Record'!$D$9:$D$108,$E10)</f>
        <v/>
      </c>
      <c r="S10" s="181">
        <f>COUNTIFS('Class Record'!$P$9:$P$108,S$7,'Class Record'!$D$9:$D$108,$E10)</f>
        <v/>
      </c>
    </row>
    <row r="11" ht="25.2" customHeight="1" s="346" thickBot="1">
      <c r="A11" s="183">
        <f>A10</f>
        <v/>
      </c>
      <c r="B11" s="184">
        <f>B10</f>
        <v/>
      </c>
      <c r="C11" s="184">
        <f>C10</f>
        <v/>
      </c>
      <c r="D11" s="184">
        <f>D10</f>
        <v/>
      </c>
      <c r="E11" s="185" t="inlineStr">
        <is>
          <t>Female</t>
        </is>
      </c>
      <c r="F11" s="186">
        <f>'G2 FIL Reading Scoresheet'!$E$6</f>
        <v/>
      </c>
      <c r="G11" s="187">
        <f>COUNTIF('G2 FIL Reading Scoresheet'!$D$11:$D$110,$E11)</f>
        <v/>
      </c>
      <c r="H11" s="188">
        <f>COUNTIFS('Class Record'!$K$9:$K$108,H$7,'Class Record'!$D$9:$D$108,$E11)</f>
        <v/>
      </c>
      <c r="I11" s="188">
        <f>COUNTIFS('Class Record'!$K$9:$K$108,I$7,'Class Record'!$D$9:$D$108,$E11)</f>
        <v/>
      </c>
      <c r="J11" s="188">
        <f>COUNTIFS('Class Record'!$K$9:$K$108,J$7,'Class Record'!$D$9:$D$108,$E11)</f>
        <v/>
      </c>
      <c r="K11" s="188">
        <f>COUNTIFS('Class Record'!$K$9:$K$108,K$7,'Class Record'!$D$9:$D$108,$E11)</f>
        <v/>
      </c>
      <c r="L11" s="223">
        <f>IFERROR(AVERAGEIFS('G2 FIL Reading Scoresheet'!$Q$11:$Q$110,'G2 FIL Reading Scoresheet'!$D$11:$D$110,$E11),"")</f>
        <v/>
      </c>
      <c r="M11" s="223">
        <f>IFERROR(AVERAGEIFS('G2 FIL Reading Scoresheet'!$Y$11:$Y$110,'G2 MT Reading Scoresheet'!$D$11:$D$110,$E11),"")</f>
        <v/>
      </c>
      <c r="N11" s="220">
        <f>IFERROR(AVERAGEIFS('G2 FIL Reading Scoresheet'!$P$11:$P$110,'G2 FIL Reading Scoresheet'!$D$11:$D$110,$E11),"")</f>
        <v/>
      </c>
      <c r="O11" s="189">
        <f>COUNTIFS('Class Record'!$P$9:$P$108,O$7,'Class Record'!$D$9:$D$108,$E11)</f>
        <v/>
      </c>
      <c r="P11" s="189">
        <f>COUNTIFS('Class Record'!$P$9:$P$108,P$7,'Class Record'!$D$9:$D$108,$E11)</f>
        <v/>
      </c>
      <c r="Q11" s="189">
        <f>COUNTIFS('Class Record'!$P$9:$P$108,Q$7,'Class Record'!$D$9:$D$108,$E11)</f>
        <v/>
      </c>
      <c r="R11" s="189">
        <f>COUNTIFS('Class Record'!$P$9:$P$108,R$7,'Class Record'!$D$9:$D$108,$E11)</f>
        <v/>
      </c>
      <c r="S11" s="189">
        <f>COUNTIFS('Class Record'!$P$9:$P$108,S$7,'Class Record'!$D$9:$D$108,$E11)</f>
        <v/>
      </c>
    </row>
    <row r="12" ht="21" customHeight="1" s="346" thickBot="1">
      <c r="A12" s="158" t="n"/>
      <c r="B12" s="158" t="n"/>
      <c r="C12" s="158" t="n"/>
      <c r="D12" s="158" t="n"/>
      <c r="E12" s="159" t="n"/>
      <c r="F12" s="160" t="n"/>
      <c r="G12" s="161" t="n"/>
      <c r="H12" s="157" t="n"/>
      <c r="I12" s="157" t="n"/>
      <c r="J12" s="157" t="n"/>
      <c r="K12" s="157" t="n"/>
      <c r="L12" s="218" t="n"/>
      <c r="M12" s="157" t="n"/>
      <c r="N12" s="157" t="n"/>
      <c r="O12" s="157" t="n"/>
      <c r="P12" s="157" t="n"/>
      <c r="Q12" s="157" t="n"/>
      <c r="R12" s="157" t="n"/>
      <c r="S12" s="157" t="n"/>
    </row>
    <row r="13" ht="25.2" customHeight="1" s="346">
      <c r="A13" s="162">
        <f>A9</f>
        <v/>
      </c>
      <c r="B13" s="163">
        <f>B9</f>
        <v/>
      </c>
      <c r="C13" s="163">
        <f>C9</f>
        <v/>
      </c>
      <c r="D13" s="163">
        <f>D9</f>
        <v/>
      </c>
      <c r="E13" s="164" t="inlineStr">
        <is>
          <t>Total</t>
        </is>
      </c>
      <c r="F13" s="165">
        <f>F8+F9</f>
        <v/>
      </c>
      <c r="G13" s="166">
        <f>G8+G9</f>
        <v/>
      </c>
      <c r="H13" s="167">
        <f>H8+H9</f>
        <v/>
      </c>
      <c r="I13" s="167">
        <f>I8+I9</f>
        <v/>
      </c>
      <c r="J13" s="167">
        <f>J8+J9</f>
        <v/>
      </c>
      <c r="K13" s="167">
        <f>K8+K9</f>
        <v/>
      </c>
      <c r="L13" s="222">
        <f>IFERROR((L8+L9)/2,"")</f>
        <v/>
      </c>
      <c r="M13" s="222">
        <f>IFERROR((M8+M9)/2,"")</f>
        <v/>
      </c>
      <c r="N13" s="219">
        <f>IFERROR((N8+N9)/2,"")</f>
        <v/>
      </c>
      <c r="O13" s="168">
        <f>O8+O9</f>
        <v/>
      </c>
      <c r="P13" s="168">
        <f>P8+P9</f>
        <v/>
      </c>
      <c r="Q13" s="168">
        <f>Q8+Q9</f>
        <v/>
      </c>
      <c r="R13" s="168">
        <f>R8+R9</f>
        <v/>
      </c>
      <c r="S13" s="168">
        <f>S8+S9</f>
        <v/>
      </c>
    </row>
    <row r="14" ht="43.95" customHeight="1" s="346" thickBot="1">
      <c r="A14" s="169">
        <f>A10</f>
        <v/>
      </c>
      <c r="B14" s="170">
        <f>B10</f>
        <v/>
      </c>
      <c r="C14" s="170">
        <f>C10</f>
        <v/>
      </c>
      <c r="D14" s="170">
        <f>D10</f>
        <v/>
      </c>
      <c r="E14" s="171" t="inlineStr">
        <is>
          <t>Total</t>
        </is>
      </c>
      <c r="F14" s="172">
        <f>F10+F11</f>
        <v/>
      </c>
      <c r="G14" s="173">
        <f>G10+G11</f>
        <v/>
      </c>
      <c r="H14" s="174">
        <f>H10+H11</f>
        <v/>
      </c>
      <c r="I14" s="174">
        <f>I10+I11</f>
        <v/>
      </c>
      <c r="J14" s="174">
        <f>J10+J11</f>
        <v/>
      </c>
      <c r="K14" s="174">
        <f>K10+K11</f>
        <v/>
      </c>
      <c r="L14" s="223">
        <f>IFERROR((L10+L11)/2,"")</f>
        <v/>
      </c>
      <c r="M14" s="223">
        <f>IFERROR((M10+M11)/2,"")</f>
        <v/>
      </c>
      <c r="N14" s="220">
        <f>IFERROR((N10+N11)/2,"")</f>
        <v/>
      </c>
      <c r="O14" s="175">
        <f>O10+O11</f>
        <v/>
      </c>
      <c r="P14" s="175">
        <f>P10+P11</f>
        <v/>
      </c>
      <c r="Q14" s="175">
        <f>Q10+Q11</f>
        <v/>
      </c>
      <c r="R14" s="175">
        <f>R10+R11</f>
        <v/>
      </c>
      <c r="S14" s="175">
        <f>S10+S11</f>
        <v/>
      </c>
    </row>
    <row r="15" ht="15" customHeight="1" s="346" thickBot="1"/>
    <row r="16">
      <c r="A16" s="352" t="n"/>
      <c r="B16" s="353" t="n"/>
      <c r="C16" s="240" t="n"/>
      <c r="D16" s="351" t="inlineStr">
        <is>
          <t>Percent (%) of Learners at Each Proficiency Level</t>
        </is>
      </c>
      <c r="E16" s="298" t="n"/>
      <c r="F16" s="298" t="n"/>
      <c r="G16" s="298" t="n"/>
      <c r="H16" s="298" t="n"/>
      <c r="I16" s="298" t="n"/>
      <c r="J16" s="298" t="n"/>
      <c r="K16" s="298" t="n"/>
      <c r="L16" s="298" t="n"/>
      <c r="M16" s="298" t="n"/>
      <c r="N16" s="298" t="n"/>
      <c r="O16" s="316" t="n"/>
      <c r="P16" s="224" t="n"/>
    </row>
    <row r="17" ht="14.4" customHeight="1" s="346">
      <c r="A17" s="241" t="n"/>
      <c r="B17" s="242" t="n"/>
      <c r="C17" s="243" t="n"/>
      <c r="D17" s="348" t="inlineStr">
        <is>
          <t>Assessment Part 1 Reading Level</t>
        </is>
      </c>
      <c r="E17" s="349" t="n"/>
      <c r="F17" s="349" t="n"/>
      <c r="G17" s="350" t="n"/>
      <c r="H17" s="348" t="inlineStr">
        <is>
          <t>Average Score</t>
        </is>
      </c>
      <c r="I17" s="349" t="n"/>
      <c r="J17" s="350" t="n"/>
      <c r="K17" s="348" t="inlineStr">
        <is>
          <t>READING PROFILE</t>
        </is>
      </c>
      <c r="L17" s="349" t="n"/>
      <c r="M17" s="349" t="n"/>
      <c r="N17" s="349" t="n"/>
      <c r="O17" s="350" t="n"/>
      <c r="P17" s="224" t="n"/>
    </row>
    <row r="18" ht="36" customHeight="1" s="346">
      <c r="A18" s="237" t="inlineStr">
        <is>
          <t>Language</t>
        </is>
      </c>
      <c r="B18" s="238" t="inlineStr">
        <is>
          <t>Sex</t>
        </is>
      </c>
      <c r="C18" s="239" t="inlineStr">
        <is>
          <t>Percent of Learners assessed</t>
        </is>
      </c>
      <c r="D18" s="193" t="inlineStr">
        <is>
          <t>Full Refresher</t>
        </is>
      </c>
      <c r="E18" s="193" t="inlineStr">
        <is>
          <t>Moderate Refresher</t>
        </is>
      </c>
      <c r="F18" s="193" t="inlineStr">
        <is>
          <t>Light Refresher</t>
        </is>
      </c>
      <c r="G18" s="193" t="inlineStr">
        <is>
          <t>Grade Ready</t>
        </is>
      </c>
      <c r="H18" s="193" t="inlineStr">
        <is>
          <t>Reading Fluency</t>
        </is>
      </c>
      <c r="I18" s="193" t="inlineStr">
        <is>
          <t>Reading Comprehension</t>
        </is>
      </c>
      <c r="J18" s="193" t="inlineStr">
        <is>
          <t>Words Per Minute</t>
        </is>
      </c>
      <c r="K18" s="216" t="inlineStr">
        <is>
          <t>Low Emerging Reader</t>
        </is>
      </c>
      <c r="L18" s="216" t="inlineStr">
        <is>
          <t>High Emerging Reader</t>
        </is>
      </c>
      <c r="M18" s="216" t="inlineStr">
        <is>
          <t>Developing Reader</t>
        </is>
      </c>
      <c r="N18" s="216" t="inlineStr">
        <is>
          <t>Transitioning Reader</t>
        </is>
      </c>
      <c r="O18" s="217" t="inlineStr">
        <is>
          <t>Reading At Grade Level</t>
        </is>
      </c>
      <c r="P18" s="227" t="n"/>
    </row>
    <row r="19">
      <c r="A19" s="5">
        <f>D8</f>
        <v/>
      </c>
      <c r="B19" s="8" t="inlineStr">
        <is>
          <t>Male</t>
        </is>
      </c>
      <c r="C19" s="31">
        <f>IFERROR(G8/F8,"")</f>
        <v/>
      </c>
      <c r="D19" s="31">
        <f>IFERROR(H8/$G8,"")</f>
        <v/>
      </c>
      <c r="E19" s="31">
        <f>IFERROR(I8/$G8,"")</f>
        <v/>
      </c>
      <c r="F19" s="31">
        <f>IFERROR(J8/$G8,"")</f>
        <v/>
      </c>
      <c r="G19" s="31">
        <f>IFERROR(K8/$G8,"")</f>
        <v/>
      </c>
      <c r="H19" s="31">
        <f>L8</f>
        <v/>
      </c>
      <c r="I19" s="31">
        <f>M8</f>
        <v/>
      </c>
      <c r="J19" s="228">
        <f>N8</f>
        <v/>
      </c>
      <c r="K19" s="36">
        <f>IFERROR(O8/$G8,"")</f>
        <v/>
      </c>
      <c r="L19" s="36">
        <f>IFERROR(P8/$G8,"")</f>
        <v/>
      </c>
      <c r="M19" s="36">
        <f>IFERROR(Q8/$G8,"")</f>
        <v/>
      </c>
      <c r="N19" s="36">
        <f>IFERROR(R8/$G8,"")</f>
        <v/>
      </c>
      <c r="O19" s="37">
        <f>IFERROR(S8/$G8,"")</f>
        <v/>
      </c>
      <c r="P19" s="224" t="n"/>
    </row>
    <row r="20">
      <c r="A20" s="5">
        <f>A19</f>
        <v/>
      </c>
      <c r="B20" s="8" t="inlineStr">
        <is>
          <t>Female</t>
        </is>
      </c>
      <c r="C20" s="32">
        <f>IFERROR(G9/F9,"")</f>
        <v/>
      </c>
      <c r="D20" s="32">
        <f>IFERROR(H9/$G9,"")</f>
        <v/>
      </c>
      <c r="E20" s="32">
        <f>IFERROR(I9/$G9,"")</f>
        <v/>
      </c>
      <c r="F20" s="32">
        <f>IFERROR(J9/$G9,"")</f>
        <v/>
      </c>
      <c r="G20" s="32">
        <f>IFERROR(K9/$G9,"")</f>
        <v/>
      </c>
      <c r="H20" s="32">
        <f>L9</f>
        <v/>
      </c>
      <c r="I20" s="32">
        <f>M9</f>
        <v/>
      </c>
      <c r="J20" s="229">
        <f>N9</f>
        <v/>
      </c>
      <c r="K20" s="38">
        <f>IFERROR(O9/$G9,"")</f>
        <v/>
      </c>
      <c r="L20" s="38">
        <f>IFERROR(P9/$G9,"")</f>
        <v/>
      </c>
      <c r="M20" s="38">
        <f>IFERROR(Q9/$G9,"")</f>
        <v/>
      </c>
      <c r="N20" s="38">
        <f>IFERROR(R9/$G9,"")</f>
        <v/>
      </c>
      <c r="O20" s="39">
        <f>IFERROR(S9/$G9,"")</f>
        <v/>
      </c>
      <c r="P20" s="224" t="n"/>
    </row>
    <row r="21" ht="15" customHeight="1" s="346" thickBot="1">
      <c r="A21" s="33">
        <f>A20</f>
        <v/>
      </c>
      <c r="B21" s="34" t="inlineStr">
        <is>
          <t>Total</t>
        </is>
      </c>
      <c r="C21" s="35">
        <f>IFERROR(G13/F13,"")</f>
        <v/>
      </c>
      <c r="D21" s="35">
        <f>IFERROR(H13/$G13,"")</f>
        <v/>
      </c>
      <c r="E21" s="35">
        <f>IFERROR(I13/$G13,"")</f>
        <v/>
      </c>
      <c r="F21" s="35">
        <f>IFERROR(J13/$G13,"")</f>
        <v/>
      </c>
      <c r="G21" s="35">
        <f>IFERROR(K13/$G13,"")</f>
        <v/>
      </c>
      <c r="H21" s="35">
        <f>L13</f>
        <v/>
      </c>
      <c r="I21" s="35">
        <f>M13</f>
        <v/>
      </c>
      <c r="J21" s="230">
        <f>N13</f>
        <v/>
      </c>
      <c r="K21" s="231">
        <f>IFERROR(O13/$G13,"")</f>
        <v/>
      </c>
      <c r="L21" s="40">
        <f>IFERROR(P13/$G13,"")</f>
        <v/>
      </c>
      <c r="M21" s="40">
        <f>IFERROR(Q13/$G13,"")</f>
        <v/>
      </c>
      <c r="N21" s="40">
        <f>IFERROR(R13/$G13,"")</f>
        <v/>
      </c>
      <c r="O21" s="41">
        <f>IFERROR(S13/$G13,"")</f>
        <v/>
      </c>
      <c r="P21" s="224" t="n"/>
    </row>
    <row r="22">
      <c r="A22" s="328">
        <f>D11</f>
        <v/>
      </c>
      <c r="B22" s="323" t="inlineStr">
        <is>
          <t>Male</t>
        </is>
      </c>
      <c r="C22" s="233">
        <f>IFERROR(G10/F10,"")</f>
        <v/>
      </c>
      <c r="D22" s="233">
        <f>IFERROR(H10/$G10,"")</f>
        <v/>
      </c>
      <c r="E22" s="233">
        <f>IFERROR(I10/$G10,"")</f>
        <v/>
      </c>
      <c r="F22" s="233">
        <f>IFERROR(J10/$G10,"")</f>
        <v/>
      </c>
      <c r="G22" s="233">
        <f>IFERROR(K10/$G10,"")</f>
        <v/>
      </c>
      <c r="H22" s="233">
        <f>L10</f>
        <v/>
      </c>
      <c r="I22" s="233">
        <f>M10</f>
        <v/>
      </c>
      <c r="J22" s="234">
        <f>N10</f>
        <v/>
      </c>
      <c r="K22" s="235">
        <f>IFERROR(O10/$G10,"")</f>
        <v/>
      </c>
      <c r="L22" s="235">
        <f>IFERROR(P10/$G10,"")</f>
        <v/>
      </c>
      <c r="M22" s="235">
        <f>IFERROR(Q10/$G10,"")</f>
        <v/>
      </c>
      <c r="N22" s="235">
        <f>IFERROR(R10/$G10,"")</f>
        <v/>
      </c>
      <c r="O22" s="236">
        <f>IFERROR(S10/$G10,"")</f>
        <v/>
      </c>
      <c r="P22" s="224" t="n"/>
    </row>
    <row r="23">
      <c r="A23" s="5">
        <f>A22</f>
        <v/>
      </c>
      <c r="B23" s="8" t="inlineStr">
        <is>
          <t>Female</t>
        </is>
      </c>
      <c r="C23" s="32">
        <f>IFERROR(G11/F11,"")</f>
        <v/>
      </c>
      <c r="D23" s="32">
        <f>IFERROR(H11/$G11,"")</f>
        <v/>
      </c>
      <c r="E23" s="32">
        <f>IFERROR(I11/$G11,"")</f>
        <v/>
      </c>
      <c r="F23" s="32">
        <f>IFERROR(J11/$G11,"")</f>
        <v/>
      </c>
      <c r="G23" s="32">
        <f>IFERROR(K11/$G11,"")</f>
        <v/>
      </c>
      <c r="H23" s="31">
        <f>L11</f>
        <v/>
      </c>
      <c r="I23" s="31">
        <f>M11</f>
        <v/>
      </c>
      <c r="J23" s="228">
        <f>N11</f>
        <v/>
      </c>
      <c r="K23" s="38">
        <f>IFERROR(O11/$G11,"")</f>
        <v/>
      </c>
      <c r="L23" s="38">
        <f>IFERROR(P11/$G11,"")</f>
        <v/>
      </c>
      <c r="M23" s="38">
        <f>IFERROR(Q11/$G11,"")</f>
        <v/>
      </c>
      <c r="N23" s="38">
        <f>IFERROR(R11/$G11,"")</f>
        <v/>
      </c>
      <c r="O23" s="39">
        <f>IFERROR(S11/$G11,"")</f>
        <v/>
      </c>
      <c r="P23" s="224" t="n"/>
    </row>
    <row r="24" ht="15" customHeight="1" s="346" thickBot="1">
      <c r="A24" s="33">
        <f>A23</f>
        <v/>
      </c>
      <c r="B24" s="34" t="inlineStr">
        <is>
          <t>Total</t>
        </is>
      </c>
      <c r="C24" s="35">
        <f>IFERROR(G14/F14,"")</f>
        <v/>
      </c>
      <c r="D24" s="35">
        <f>IFERROR(H14/$G14,"")</f>
        <v/>
      </c>
      <c r="E24" s="35">
        <f>IFERROR(I14/$G14,"")</f>
        <v/>
      </c>
      <c r="F24" s="35">
        <f>IFERROR(J14/$G14,"")</f>
        <v/>
      </c>
      <c r="G24" s="35">
        <f>IFERROR(K14/$G14,"")</f>
        <v/>
      </c>
      <c r="H24" s="35">
        <f>L14</f>
        <v/>
      </c>
      <c r="I24" s="35">
        <f>M14</f>
        <v/>
      </c>
      <c r="J24" s="230">
        <f>N14</f>
        <v/>
      </c>
      <c r="K24" s="40">
        <f>IFERROR(O14/$G14,"")</f>
        <v/>
      </c>
      <c r="L24" s="40">
        <f>IFERROR(P14/$G14,"")</f>
        <v/>
      </c>
      <c r="M24" s="40">
        <f>IFERROR(Q14/$G14,"")</f>
        <v/>
      </c>
      <c r="N24" s="40">
        <f>IFERROR(R14/$G14,"")</f>
        <v/>
      </c>
      <c r="O24" s="41">
        <f>IFERROR(S14/$G14,"")</f>
        <v/>
      </c>
      <c r="P24" s="224" t="n"/>
    </row>
    <row r="25">
      <c r="A25" s="225" t="n"/>
      <c r="B25" s="225" t="n"/>
      <c r="C25" s="226" t="n"/>
      <c r="D25" s="226" t="n"/>
      <c r="E25" s="226" t="n"/>
      <c r="F25" s="226" t="n"/>
      <c r="G25" s="226" t="n"/>
      <c r="H25" s="226" t="n"/>
      <c r="I25" s="226" t="n"/>
      <c r="J25" s="226" t="n"/>
      <c r="K25" s="226" t="n"/>
      <c r="L25" s="226" t="n"/>
      <c r="M25" s="226" t="n"/>
      <c r="N25" s="226" t="n"/>
      <c r="O25" s="22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7">
    <mergeCell ref="A4:B4"/>
    <mergeCell ref="A2:F2"/>
    <mergeCell ref="K17:O17"/>
    <mergeCell ref="D16:O16"/>
    <mergeCell ref="A16:B16"/>
    <mergeCell ref="D17:G17"/>
    <mergeCell ref="C5:E5"/>
    <mergeCell ref="A5:B5"/>
    <mergeCell ref="H6:K6"/>
    <mergeCell ref="G6:G7"/>
    <mergeCell ref="E6:E7"/>
    <mergeCell ref="A6:A7"/>
    <mergeCell ref="H17:J17"/>
    <mergeCell ref="D6:D7"/>
    <mergeCell ref="L6:N6"/>
    <mergeCell ref="F6:F7"/>
    <mergeCell ref="Q6:S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2:E9"/>
  <sheetViews>
    <sheetView workbookViewId="0">
      <selection activeCell="A4" sqref="A4:XFD9"/>
    </sheetView>
  </sheetViews>
  <sheetFormatPr baseColWidth="8" defaultRowHeight="14.4"/>
  <cols>
    <col width="18.6640625" customWidth="1" style="346" min="1" max="1"/>
    <col width="24.33203125" customWidth="1" style="346" min="2" max="2"/>
    <col width="63.6640625" customWidth="1" style="346" min="3" max="3"/>
    <col width="29" customWidth="1" style="346" min="5" max="5"/>
  </cols>
  <sheetData>
    <row r="2">
      <c r="A2" t="inlineStr">
        <is>
          <t xml:space="preserve"> </t>
        </is>
      </c>
    </row>
    <row r="3" ht="15" customHeight="1" s="346" thickBot="1"/>
    <row r="4" ht="19.95" customHeight="1" s="346">
      <c r="B4" s="194" t="inlineStr">
        <is>
          <t>Reading Level</t>
        </is>
      </c>
      <c r="C4" s="195" t="inlineStr">
        <is>
          <t>Criteria</t>
        </is>
      </c>
      <c r="D4" s="367" t="inlineStr">
        <is>
          <t>Observations Level</t>
        </is>
      </c>
      <c r="E4" s="316" t="n"/>
    </row>
    <row r="5" ht="30" customHeight="1" s="346">
      <c r="B5" s="196" t="inlineStr">
        <is>
          <t>Low Emerging Reader</t>
        </is>
      </c>
      <c r="C5" s="197" t="inlineStr">
        <is>
          <t>Learner scores 0 to 10 in Assessment Part 1</t>
        </is>
      </c>
      <c r="D5" s="198" t="n"/>
      <c r="E5" s="199" t="n"/>
    </row>
    <row r="6" ht="30" customHeight="1" s="346">
      <c r="B6" s="196" t="inlineStr">
        <is>
          <t>High Emerging Reader</t>
        </is>
      </c>
      <c r="C6" s="200" t="inlineStr">
        <is>
          <t>Learner reads less than 25% of the passage in 2 minutes and cannot answer any of the questions</t>
        </is>
      </c>
      <c r="D6" s="198" t="inlineStr">
        <is>
          <t>Level 1</t>
        </is>
      </c>
      <c r="E6" s="199" t="inlineStr">
        <is>
          <t>Reads word by word</t>
        </is>
      </c>
    </row>
    <row r="7" ht="30" customHeight="1" s="346">
      <c r="B7" s="196" t="inlineStr">
        <is>
          <t>Developing Reader</t>
        </is>
      </c>
      <c r="C7" s="200" t="inlineStr">
        <is>
          <t>Learner reads between 26% to 50% of  passage accurately in 2 minutes  and answers 1 to 2 question correctly</t>
        </is>
      </c>
      <c r="D7" s="198" t="inlineStr">
        <is>
          <t>Level 2</t>
        </is>
      </c>
      <c r="E7" s="199" t="inlineStr">
        <is>
          <t>Reads word in chunks</t>
        </is>
      </c>
    </row>
    <row r="8" ht="30" customHeight="1" s="346">
      <c r="B8" s="201" t="inlineStr">
        <is>
          <t>Transitioning Reader</t>
        </is>
      </c>
      <c r="C8" s="200" t="inlineStr">
        <is>
          <t>Learner reads between 51% to 75% of  passage accurately in 2 minutes  AND answers 3 to 4 questions correctly.</t>
        </is>
      </c>
      <c r="D8" s="198" t="inlineStr">
        <is>
          <t>Level 3</t>
        </is>
      </c>
      <c r="E8" s="199" t="inlineStr">
        <is>
          <t>Reads fluently but not observing functuation marks</t>
        </is>
      </c>
    </row>
    <row r="9" ht="30" customHeight="1" s="346" thickBot="1">
      <c r="B9" s="202" t="inlineStr">
        <is>
          <t>Reading At Grade Level</t>
        </is>
      </c>
      <c r="C9" s="203" t="inlineStr">
        <is>
          <t>Learner reads between 76% to 100% of  passage accurately in 2 minutes AND answers 5 to 6 questions correctly.</t>
        </is>
      </c>
      <c r="D9" s="204" t="inlineStr">
        <is>
          <t>Level 4</t>
        </is>
      </c>
      <c r="E9" s="205" t="inlineStr">
        <is>
          <t>Reads fluently with proper expression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D4:E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M35"/>
  <sheetViews>
    <sheetView topLeftCell="C1" workbookViewId="0">
      <selection activeCell="M12" sqref="M12"/>
    </sheetView>
  </sheetViews>
  <sheetFormatPr baseColWidth="8" defaultRowHeight="14.4"/>
  <cols>
    <col width="12.33203125" customWidth="1" style="346" min="1" max="1"/>
    <col width="22.6640625" customWidth="1" style="346" min="2" max="2"/>
    <col width="34.44140625" customWidth="1" style="346" min="3" max="3"/>
    <col width="9.33203125" customWidth="1" style="346" min="4" max="4"/>
    <col width="18.109375" customWidth="1" style="295" min="5" max="5"/>
    <col width="9.88671875" customWidth="1" style="346" min="6" max="6"/>
    <col width="22.88671875" customWidth="1" style="346" min="7" max="7"/>
    <col width="10.33203125" customWidth="1" style="295" min="8" max="8"/>
    <col width="19.5546875" customWidth="1" style="3" min="9" max="9"/>
    <col width="19.33203125" customWidth="1" style="295" min="10" max="10"/>
    <col width="8.88671875" customWidth="1" style="295" min="11" max="11"/>
    <col width="34.6640625" customWidth="1" style="3" min="12" max="12"/>
    <col width="8.88671875" customWidth="1" style="295" min="13" max="13"/>
  </cols>
  <sheetData>
    <row r="1">
      <c r="A1" t="inlineStr">
        <is>
          <t>Reading</t>
        </is>
      </c>
      <c r="B1" s="9" t="inlineStr">
        <is>
          <t xml:space="preserve">Region </t>
        </is>
      </c>
      <c r="C1" s="9" t="inlineStr">
        <is>
          <t>Language</t>
        </is>
      </c>
      <c r="D1" s="9" t="n"/>
      <c r="F1" t="inlineStr">
        <is>
          <t>Grade Level</t>
        </is>
      </c>
      <c r="G1" t="inlineStr">
        <is>
          <t>Language</t>
        </is>
      </c>
      <c r="H1" s="295" t="inlineStr">
        <is>
          <t>Story 1</t>
        </is>
      </c>
      <c r="I1" s="3" t="inlineStr">
        <is>
          <t>Passage Title</t>
        </is>
      </c>
      <c r="J1" s="295" t="inlineStr">
        <is>
          <t>Number of Words</t>
        </is>
      </c>
      <c r="K1" s="295" t="inlineStr">
        <is>
          <t xml:space="preserve"> Story 2</t>
        </is>
      </c>
      <c r="L1" s="3" t="inlineStr">
        <is>
          <t>Passage Title</t>
        </is>
      </c>
      <c r="M1" s="295" t="inlineStr">
        <is>
          <t>Number of Words</t>
        </is>
      </c>
    </row>
    <row r="2">
      <c r="A2" s="20" t="inlineStr">
        <is>
          <t>0%</t>
        </is>
      </c>
      <c r="B2" t="inlineStr">
        <is>
          <t>NCR</t>
        </is>
      </c>
      <c r="C2" s="10" t="inlineStr">
        <is>
          <t>Akeanon</t>
        </is>
      </c>
      <c r="D2" s="10" t="n">
        <v>1</v>
      </c>
      <c r="F2" t="inlineStr">
        <is>
          <t>Grade 2</t>
        </is>
      </c>
      <c r="G2" t="inlineStr">
        <is>
          <t>Central Bikol</t>
        </is>
      </c>
      <c r="H2" s="295" t="n">
        <v>1</v>
      </c>
      <c r="I2" s="3" t="inlineStr">
        <is>
          <t>An Pagsaud</t>
        </is>
      </c>
      <c r="J2" s="295" t="n">
        <v>96</v>
      </c>
      <c r="K2" s="295" t="n">
        <v>2</v>
      </c>
      <c r="L2" s="3" t="inlineStr">
        <is>
          <t>An Sorpresa ni Nanay</t>
        </is>
      </c>
      <c r="M2" s="295" t="n">
        <v>94</v>
      </c>
    </row>
    <row r="3">
      <c r="A3" s="20" t="inlineStr">
        <is>
          <t>&lt;50%</t>
        </is>
      </c>
      <c r="B3" t="inlineStr">
        <is>
          <t>CAR</t>
        </is>
      </c>
      <c r="C3" s="10" t="inlineStr">
        <is>
          <t>Bahasa Sug</t>
        </is>
      </c>
      <c r="D3" s="10" t="n">
        <v>1</v>
      </c>
      <c r="F3" t="inlineStr">
        <is>
          <t>Grade 2</t>
        </is>
      </c>
      <c r="G3" t="inlineStr">
        <is>
          <t>Tagalog</t>
        </is>
      </c>
      <c r="H3" s="295" t="n">
        <v>1</v>
      </c>
      <c r="I3" s="3" t="inlineStr">
        <is>
          <t>Isang Kakaibang Araw</t>
        </is>
      </c>
      <c r="J3" s="295" t="n">
        <v>96</v>
      </c>
      <c r="K3" s="295" t="n">
        <v>2</v>
      </c>
      <c r="L3" s="3" t="inlineStr">
        <is>
          <t>Ang Pagong at ang Kuheno</t>
        </is>
      </c>
      <c r="M3" s="295" t="n">
        <v>95</v>
      </c>
    </row>
    <row r="4">
      <c r="A4" s="20" t="inlineStr">
        <is>
          <t>50%</t>
        </is>
      </c>
      <c r="B4" t="inlineStr">
        <is>
          <t>Region I</t>
        </is>
      </c>
      <c r="C4" s="10" t="inlineStr">
        <is>
          <t>Bikol Libon</t>
        </is>
      </c>
      <c r="D4" s="10" t="n"/>
      <c r="F4" t="inlineStr">
        <is>
          <t>Grade 2</t>
        </is>
      </c>
      <c r="G4" t="inlineStr">
        <is>
          <t>Rinconada</t>
        </is>
      </c>
      <c r="H4" s="295" t="n">
        <v>1</v>
      </c>
      <c r="I4" s="3" t="inlineStr">
        <is>
          <t>SI PLUTO</t>
        </is>
      </c>
      <c r="J4" s="295" t="n">
        <v>96</v>
      </c>
      <c r="K4" s="295" t="n">
        <v>2</v>
      </c>
      <c r="L4" s="3" t="inlineStr">
        <is>
          <t>SA KADLAGAN</t>
        </is>
      </c>
      <c r="M4" s="295" t="n">
        <v>95</v>
      </c>
    </row>
    <row r="5">
      <c r="A5" t="inlineStr">
        <is>
          <t>&gt;50%</t>
        </is>
      </c>
      <c r="B5" t="inlineStr">
        <is>
          <t>Region II</t>
        </is>
      </c>
      <c r="C5" s="10" t="inlineStr">
        <is>
          <t>Buhi-non</t>
        </is>
      </c>
      <c r="D5" s="10" t="n"/>
      <c r="F5" t="inlineStr">
        <is>
          <t>Grade 2</t>
        </is>
      </c>
      <c r="G5" t="inlineStr">
        <is>
          <t>Minasbate</t>
        </is>
      </c>
      <c r="H5" s="295" t="n">
        <v>1</v>
      </c>
      <c r="I5" s="3" t="inlineStr">
        <is>
          <t>MAY ESKWELA NA</t>
        </is>
      </c>
      <c r="J5" s="295" t="n">
        <v>95</v>
      </c>
      <c r="K5" s="295" t="n">
        <v>2</v>
      </c>
      <c r="L5" s="3" t="inlineStr">
        <is>
          <t xml:space="preserve">SA BARYO NI KALOY </t>
        </is>
      </c>
      <c r="M5" s="295" t="n">
        <v>94</v>
      </c>
    </row>
    <row r="6">
      <c r="A6" s="20" t="inlineStr">
        <is>
          <t>100%</t>
        </is>
      </c>
      <c r="B6" t="inlineStr">
        <is>
          <t>Region III</t>
        </is>
      </c>
      <c r="C6" s="10" t="inlineStr">
        <is>
          <t>Caluyanen</t>
        </is>
      </c>
      <c r="D6" s="10" t="n"/>
      <c r="F6" t="inlineStr">
        <is>
          <t>Grade 2</t>
        </is>
      </c>
      <c r="G6" t="inlineStr">
        <is>
          <t>Filipino</t>
        </is>
      </c>
      <c r="H6" s="295" t="n">
        <v>1</v>
      </c>
      <c r="I6" s="3" t="inlineStr">
        <is>
          <t>Isang Kakaibang Araw</t>
        </is>
      </c>
      <c r="J6" s="295" t="n">
        <v>96</v>
      </c>
      <c r="K6" s="295" t="n">
        <v>2</v>
      </c>
      <c r="L6" s="3" t="inlineStr">
        <is>
          <t>Ang Pagong at ang Kuheno</t>
        </is>
      </c>
      <c r="M6" s="295" t="n">
        <v>95</v>
      </c>
    </row>
    <row r="7">
      <c r="B7" t="inlineStr">
        <is>
          <t>Region IV-A</t>
        </is>
      </c>
      <c r="C7" s="10" t="inlineStr">
        <is>
          <t>Central Bikol</t>
        </is>
      </c>
      <c r="D7" s="10" t="n">
        <v>1</v>
      </c>
      <c r="F7" t="inlineStr">
        <is>
          <t>Grade 2</t>
        </is>
      </c>
      <c r="G7" t="inlineStr">
        <is>
          <t>Sinugbuanong Binisaya</t>
        </is>
      </c>
      <c r="H7" s="295" t="n">
        <v>1</v>
      </c>
      <c r="I7" s="3" t="inlineStr">
        <is>
          <t>Palda ni Perla</t>
        </is>
      </c>
      <c r="J7" s="295" t="n">
        <v>95</v>
      </c>
      <c r="K7" s="295" t="n">
        <v>2</v>
      </c>
      <c r="L7" s="3" t="inlineStr">
        <is>
          <t>Si Ana, Ang Batang Matinahuron</t>
        </is>
      </c>
      <c r="M7" s="295" t="n">
        <v>95</v>
      </c>
    </row>
    <row r="8">
      <c r="B8" t="inlineStr">
        <is>
          <t xml:space="preserve">Region IV-B </t>
        </is>
      </c>
      <c r="C8" t="inlineStr">
        <is>
          <t>Chavacano</t>
        </is>
      </c>
      <c r="D8" t="n">
        <v>1</v>
      </c>
      <c r="F8" t="inlineStr">
        <is>
          <t>Grade 2</t>
        </is>
      </c>
      <c r="G8" t="inlineStr">
        <is>
          <t>Hiligaynon</t>
        </is>
      </c>
      <c r="H8" s="295" t="n">
        <v>1</v>
      </c>
      <c r="I8" s="3" t="inlineStr">
        <is>
          <t>Ang Damgo ni Marko</t>
        </is>
      </c>
      <c r="J8" s="295" t="n">
        <v>96</v>
      </c>
      <c r="K8" s="295" t="n">
        <v>2</v>
      </c>
      <c r="L8" s="3" t="inlineStr">
        <is>
          <t>Ang Sorpresa</t>
        </is>
      </c>
      <c r="M8" s="295" t="n">
        <v>94</v>
      </c>
    </row>
    <row r="9">
      <c r="B9" t="inlineStr">
        <is>
          <t xml:space="preserve">Region V </t>
        </is>
      </c>
      <c r="C9" s="10" t="inlineStr">
        <is>
          <t>Cuyonon</t>
        </is>
      </c>
      <c r="D9" s="10" t="n"/>
      <c r="F9" t="inlineStr">
        <is>
          <t>Grade 2</t>
        </is>
      </c>
      <c r="G9" t="inlineStr">
        <is>
          <t>Akeanon</t>
        </is>
      </c>
      <c r="H9" s="295" t="n">
        <v>1</v>
      </c>
      <c r="I9" s="3" t="inlineStr">
        <is>
          <t xml:space="preserve">Naduea Ro Tubi </t>
        </is>
      </c>
      <c r="J9" s="295" t="n">
        <v>94</v>
      </c>
      <c r="K9" s="295" t="n">
        <v>2</v>
      </c>
      <c r="L9" s="3" t="inlineStr">
        <is>
          <t>Ro Magmaeanghud</t>
        </is>
      </c>
      <c r="M9" s="295" t="n">
        <v>94</v>
      </c>
    </row>
    <row r="10">
      <c r="B10" t="inlineStr">
        <is>
          <t>Region VI</t>
        </is>
      </c>
      <c r="C10" s="10" t="inlineStr">
        <is>
          <t>Hiligaynon</t>
        </is>
      </c>
      <c r="D10" s="10" t="n">
        <v>1</v>
      </c>
      <c r="F10" t="inlineStr">
        <is>
          <t>Grade 2</t>
        </is>
      </c>
      <c r="G10" t="inlineStr">
        <is>
          <t xml:space="preserve">Kinaray-a </t>
        </is>
      </c>
      <c r="H10" s="295" t="n">
        <v>1</v>
      </c>
      <c r="I10" s="3" t="inlineStr">
        <is>
          <t>Ang Bata nga Parasipal kang Damang</t>
        </is>
      </c>
      <c r="J10" s="295" t="n">
        <v>95</v>
      </c>
      <c r="K10" s="295" t="n">
        <v>2</v>
      </c>
      <c r="L10" s="3" t="inlineStr">
        <is>
          <t>Ang Handum ni Lisa</t>
        </is>
      </c>
      <c r="M10" s="295" t="n">
        <v>95</v>
      </c>
    </row>
    <row r="11">
      <c r="B11" t="inlineStr">
        <is>
          <t xml:space="preserve">Region VII </t>
        </is>
      </c>
      <c r="C11" s="10" t="inlineStr">
        <is>
          <t>Hiliray-a (Kinaray-a Iloilo)</t>
        </is>
      </c>
      <c r="D11" s="10" t="n"/>
      <c r="F11" t="inlineStr">
        <is>
          <t>Grade 2</t>
        </is>
      </c>
      <c r="G11" t="inlineStr">
        <is>
          <t>Magindanawn</t>
        </is>
      </c>
      <c r="H11" s="295" t="n">
        <v>1</v>
      </c>
      <c r="I11" s="3" t="inlineStr">
        <is>
          <t>Su Bayabas Nila Kamad</t>
        </is>
      </c>
      <c r="J11" s="295" t="n">
        <v>95</v>
      </c>
      <c r="K11" s="295" t="n">
        <v>2</v>
      </c>
      <c r="L11" s="3" t="inlineStr">
        <is>
          <t>Su Manga Bedung Ni Saida</t>
        </is>
      </c>
      <c r="M11" s="295" t="n">
        <v>95</v>
      </c>
    </row>
    <row r="12">
      <c r="B12" t="inlineStr">
        <is>
          <t xml:space="preserve">Region VIII </t>
        </is>
      </c>
      <c r="C12" s="10" t="inlineStr">
        <is>
          <t>Ibanag</t>
        </is>
      </c>
      <c r="D12" s="10" t="n">
        <v>1</v>
      </c>
      <c r="F12" t="inlineStr">
        <is>
          <t>Grade 2</t>
        </is>
      </c>
      <c r="G12" t="inlineStr">
        <is>
          <t>Hiliray-a (Kinaray-a Iloilo)</t>
        </is>
      </c>
      <c r="H12" s="295" t="n">
        <v>1</v>
      </c>
      <c r="I12" s="3" t="inlineStr">
        <is>
          <t>ANG BOLA NI GLENDA</t>
        </is>
      </c>
      <c r="J12" s="295" t="n">
        <v>95</v>
      </c>
      <c r="K12" s="295" t="n">
        <v>2</v>
      </c>
      <c r="L12" s="3" t="inlineStr">
        <is>
          <t>SI BIMBOY</t>
        </is>
      </c>
      <c r="M12" s="295" t="n">
        <v>95</v>
      </c>
    </row>
    <row r="13">
      <c r="B13" t="inlineStr">
        <is>
          <t>Region IX</t>
        </is>
      </c>
      <c r="C13" s="10" t="inlineStr">
        <is>
          <t>Ilocano</t>
        </is>
      </c>
      <c r="D13" s="10" t="n">
        <v>1</v>
      </c>
    </row>
    <row r="14">
      <c r="B14" t="inlineStr">
        <is>
          <t xml:space="preserve">Region X </t>
        </is>
      </c>
      <c r="C14" s="11" t="inlineStr">
        <is>
          <t>Inabaknon</t>
        </is>
      </c>
      <c r="D14" s="11" t="n"/>
    </row>
    <row r="15">
      <c r="B15" t="inlineStr">
        <is>
          <t xml:space="preserve">Region XI </t>
        </is>
      </c>
      <c r="C15" s="11" t="inlineStr">
        <is>
          <t>Ivatan</t>
        </is>
      </c>
      <c r="D15" s="11" t="n">
        <v>1</v>
      </c>
    </row>
    <row r="16">
      <c r="B16" t="inlineStr">
        <is>
          <t xml:space="preserve">Region XII </t>
        </is>
      </c>
      <c r="C16" s="10" t="inlineStr">
        <is>
          <t>Kapampangan</t>
        </is>
      </c>
      <c r="D16" s="10" t="n">
        <v>1</v>
      </c>
    </row>
    <row r="17">
      <c r="B17" t="inlineStr">
        <is>
          <t xml:space="preserve">Region XIII </t>
        </is>
      </c>
      <c r="C17" s="11" t="inlineStr">
        <is>
          <t xml:space="preserve">Kinaray-a </t>
        </is>
      </c>
      <c r="D17" s="11" t="n">
        <v>1</v>
      </c>
    </row>
    <row r="18">
      <c r="B18" t="inlineStr">
        <is>
          <t>BARMM</t>
        </is>
      </c>
      <c r="C18" s="10" t="inlineStr">
        <is>
          <t>Magindanawn</t>
        </is>
      </c>
      <c r="D18" s="10" t="n">
        <v>1</v>
      </c>
    </row>
    <row r="19">
      <c r="C19" s="10" t="inlineStr">
        <is>
          <t xml:space="preserve">Meranaw </t>
        </is>
      </c>
      <c r="D19" s="10" t="n">
        <v>1</v>
      </c>
    </row>
    <row r="20">
      <c r="C20" s="11" t="inlineStr">
        <is>
          <t>Minasbate</t>
        </is>
      </c>
      <c r="D20" s="11" t="n"/>
    </row>
    <row r="21">
      <c r="C21" s="10" t="inlineStr">
        <is>
          <t>Miraya</t>
        </is>
      </c>
      <c r="D21" s="10" t="n"/>
    </row>
    <row r="22">
      <c r="C22" s="10" t="inlineStr">
        <is>
          <t>Northern Catanduanes</t>
        </is>
      </c>
      <c r="D22" s="10" t="n"/>
    </row>
    <row r="23">
      <c r="C23" s="10" t="inlineStr">
        <is>
          <t>Northern Sorsoganon</t>
        </is>
      </c>
      <c r="D23" s="10" t="n"/>
    </row>
    <row r="24">
      <c r="C24" s="10" t="inlineStr">
        <is>
          <t>Pangasinan</t>
        </is>
      </c>
      <c r="D24" s="10" t="n">
        <v>1</v>
      </c>
    </row>
    <row r="25">
      <c r="C25" t="inlineStr">
        <is>
          <t>Rinconada</t>
        </is>
      </c>
    </row>
    <row r="26">
      <c r="C26" t="inlineStr">
        <is>
          <t xml:space="preserve">Sambal </t>
        </is>
      </c>
      <c r="D26" t="n">
        <v>1</v>
      </c>
    </row>
    <row r="27">
      <c r="C27" t="inlineStr">
        <is>
          <t>Sinugbuanong Binisaya</t>
        </is>
      </c>
      <c r="D27" t="n">
        <v>1</v>
      </c>
    </row>
    <row r="28">
      <c r="C28" t="inlineStr">
        <is>
          <t>Southern Catanduanes</t>
        </is>
      </c>
    </row>
    <row r="29">
      <c r="C29" t="inlineStr">
        <is>
          <t>Southern Sorsoganon</t>
        </is>
      </c>
    </row>
    <row r="30">
      <c r="C30" t="inlineStr">
        <is>
          <t>Surigaonon</t>
        </is>
      </c>
      <c r="D30" t="n">
        <v>1</v>
      </c>
    </row>
    <row r="31">
      <c r="C31" t="inlineStr">
        <is>
          <t>Tagalog</t>
        </is>
      </c>
      <c r="D31" t="n">
        <v>1</v>
      </c>
    </row>
    <row r="32">
      <c r="C32" t="inlineStr">
        <is>
          <t>Waray</t>
        </is>
      </c>
      <c r="D32" t="n">
        <v>1</v>
      </c>
    </row>
    <row r="33">
      <c r="C33" t="inlineStr">
        <is>
          <t>West Albay Bikol</t>
        </is>
      </c>
    </row>
    <row r="34">
      <c r="C34" t="inlineStr">
        <is>
          <t>Yakan</t>
        </is>
      </c>
      <c r="D34" t="n">
        <v>1</v>
      </c>
    </row>
    <row r="35">
      <c r="C35" t="inlineStr">
        <is>
          <t>Other MT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Emil Monroy</dc:creator>
  <dcterms:created xmlns:dcterms="http://purl.org/dc/terms/" xmlns:xsi="http://www.w3.org/2001/XMLSchema-instance" xsi:type="dcterms:W3CDTF">2021-07-15T02:28:12Z</dcterms:created>
  <dcterms:modified xmlns:dcterms="http://purl.org/dc/terms/" xmlns:xsi="http://www.w3.org/2001/XMLSchema-instance" xsi:type="dcterms:W3CDTF">2026-10-03T11:35:03Z</dcterms:modified>
  <cp:lastModifiedBy>Jxnny Lyn</cp:lastModifiedBy>
  <cp:lastPrinted>2021-08-18T02:11:00Z</cp:lastPrinted>
</cp:coreProperties>
</file>