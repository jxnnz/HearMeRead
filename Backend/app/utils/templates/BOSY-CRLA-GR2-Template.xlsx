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66925"/>
  <mc:AlternateContent xmlns:mc="http://schemas.openxmlformats.org/markup-compatibility/2006">
    <mc:Choice Requires="x15">
      <x15ac:absPath xmlns:x15ac="http://schemas.microsoft.com/office/spreadsheetml/2010/11/ac" url="C:\Users\jenny\OneDrive\Desktop\HearMeRead\frontend\src\assets\"/>
    </mc:Choice>
  </mc:AlternateContent>
  <xr:revisionPtr revIDLastSave="0" documentId="13_ncr:1_{4B997CC9-2483-4E50-A97E-023E69348F87}" xr6:coauthVersionLast="47" xr6:coauthVersionMax="47" xr10:uidLastSave="{00000000-0000-0000-0000-000000000000}"/>
  <workbookProtection workbookAlgorithmName="SHA-512" workbookHashValue="UM6o5XEEDNoWpHlMWzb1bJGU4gbXbasM5m/sneL1Gcr8P/H3OSNzgyqyPM4OqFNZ5JfDXnEcmlQcWC2ZloHBEw==" workbookSaltValue="vEIAN6k6frO5Mt7ovYGLoQ==" workbookSpinCount="100000" lockStructure="1"/>
  <bookViews>
    <workbookView xWindow="-108" yWindow="-108" windowWidth="23256" windowHeight="13896" xr2:uid="{D501B255-9284-4472-90C8-6B6C392E841B}"/>
  </bookViews>
  <sheets>
    <sheet name="G2 MT Reading Scoresheet" sheetId="1" r:id="rId1"/>
    <sheet name="G2 FIL Reading Scoresheet" sheetId="7" r:id="rId2"/>
    <sheet name="Class Record" sheetId="3" r:id="rId3"/>
    <sheet name="Class Summary" sheetId="2" r:id="rId4"/>
    <sheet name="Scoring Reference" sheetId="5" r:id="rId5"/>
    <sheet name="List" sheetId="4" state="hidden" r:id="rId6"/>
  </sheets>
  <definedNames>
    <definedName name="_xlnm._FilterDatabase" localSheetId="2" hidden="1">'Class Record'!$A$8:$R$8</definedName>
    <definedName name="_xlnm._FilterDatabase" localSheetId="1" hidden="1">'G2 FIL Reading Scoresheet'!$B$10:$U$10</definedName>
    <definedName name="_xlnm._FilterDatabase" localSheetId="0" hidden="1">'G2 MT Reading Scoresheet'!$C$10:$U$110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110" i="7" l="1"/>
  <c r="S110" i="7"/>
  <c r="R110" i="7"/>
  <c r="O110" i="7"/>
  <c r="N110" i="7"/>
  <c r="L110" i="7"/>
  <c r="K110" i="7"/>
  <c r="T109" i="7"/>
  <c r="S109" i="7"/>
  <c r="R109" i="7"/>
  <c r="O109" i="7"/>
  <c r="N109" i="7"/>
  <c r="L109" i="7"/>
  <c r="K109" i="7"/>
  <c r="T108" i="7"/>
  <c r="S108" i="7"/>
  <c r="R108" i="7"/>
  <c r="O108" i="7"/>
  <c r="N108" i="7"/>
  <c r="L108" i="7"/>
  <c r="K108" i="7"/>
  <c r="T107" i="7"/>
  <c r="S107" i="7"/>
  <c r="R107" i="7"/>
  <c r="O107" i="7"/>
  <c r="N107" i="7"/>
  <c r="L107" i="7"/>
  <c r="K107" i="7"/>
  <c r="T106" i="7"/>
  <c r="S106" i="7"/>
  <c r="R106" i="7"/>
  <c r="O106" i="7"/>
  <c r="N106" i="7"/>
  <c r="L106" i="7"/>
  <c r="K106" i="7"/>
  <c r="T105" i="7"/>
  <c r="S105" i="7"/>
  <c r="R105" i="7"/>
  <c r="O105" i="7"/>
  <c r="N105" i="7"/>
  <c r="L105" i="7"/>
  <c r="K105" i="7"/>
  <c r="T104" i="7"/>
  <c r="S104" i="7"/>
  <c r="R104" i="7"/>
  <c r="O104" i="7"/>
  <c r="N104" i="7"/>
  <c r="L104" i="7"/>
  <c r="K104" i="7"/>
  <c r="T103" i="7"/>
  <c r="S103" i="7"/>
  <c r="R103" i="7"/>
  <c r="O103" i="7"/>
  <c r="N103" i="7"/>
  <c r="L103" i="7"/>
  <c r="K103" i="7"/>
  <c r="T102" i="7"/>
  <c r="S102" i="7"/>
  <c r="R102" i="7"/>
  <c r="O102" i="7"/>
  <c r="N102" i="7"/>
  <c r="L102" i="7"/>
  <c r="K102" i="7"/>
  <c r="T101" i="7"/>
  <c r="S101" i="7"/>
  <c r="R101" i="7"/>
  <c r="O101" i="7"/>
  <c r="N101" i="7"/>
  <c r="L101" i="7"/>
  <c r="K101" i="7"/>
  <c r="T100" i="7"/>
  <c r="S100" i="7"/>
  <c r="R100" i="7"/>
  <c r="O100" i="7"/>
  <c r="N100" i="7"/>
  <c r="L100" i="7"/>
  <c r="K100" i="7"/>
  <c r="T99" i="7"/>
  <c r="S99" i="7"/>
  <c r="R99" i="7"/>
  <c r="O99" i="7"/>
  <c r="N99" i="7"/>
  <c r="L99" i="7"/>
  <c r="K99" i="7"/>
  <c r="T98" i="7"/>
  <c r="S98" i="7"/>
  <c r="R98" i="7"/>
  <c r="O98" i="7"/>
  <c r="N98" i="7"/>
  <c r="L98" i="7"/>
  <c r="K98" i="7"/>
  <c r="T97" i="7"/>
  <c r="S97" i="7"/>
  <c r="R97" i="7"/>
  <c r="O97" i="7"/>
  <c r="N97" i="7"/>
  <c r="L97" i="7"/>
  <c r="K97" i="7"/>
  <c r="T96" i="7"/>
  <c r="S96" i="7"/>
  <c r="R96" i="7"/>
  <c r="O96" i="7"/>
  <c r="N96" i="7"/>
  <c r="L96" i="7"/>
  <c r="K96" i="7"/>
  <c r="T95" i="7"/>
  <c r="S95" i="7"/>
  <c r="R95" i="7"/>
  <c r="O95" i="7"/>
  <c r="N95" i="7"/>
  <c r="L95" i="7"/>
  <c r="K95" i="7"/>
  <c r="T94" i="7"/>
  <c r="S94" i="7"/>
  <c r="R94" i="7"/>
  <c r="O94" i="7"/>
  <c r="N94" i="7"/>
  <c r="L94" i="7"/>
  <c r="K94" i="7"/>
  <c r="T93" i="7"/>
  <c r="S93" i="7"/>
  <c r="R93" i="7"/>
  <c r="O93" i="7"/>
  <c r="N93" i="7"/>
  <c r="L93" i="7"/>
  <c r="K93" i="7"/>
  <c r="T92" i="7"/>
  <c r="S92" i="7"/>
  <c r="R92" i="7"/>
  <c r="O92" i="7"/>
  <c r="N92" i="7"/>
  <c r="L92" i="7"/>
  <c r="K92" i="7"/>
  <c r="T91" i="7"/>
  <c r="S91" i="7"/>
  <c r="R91" i="7"/>
  <c r="O91" i="7"/>
  <c r="N91" i="7"/>
  <c r="L91" i="7"/>
  <c r="K91" i="7"/>
  <c r="T90" i="7"/>
  <c r="S90" i="7"/>
  <c r="R90" i="7"/>
  <c r="O90" i="7"/>
  <c r="N90" i="7"/>
  <c r="L90" i="7"/>
  <c r="K90" i="7"/>
  <c r="T89" i="7"/>
  <c r="S89" i="7"/>
  <c r="R89" i="7"/>
  <c r="O89" i="7"/>
  <c r="N89" i="7"/>
  <c r="L89" i="7"/>
  <c r="K89" i="7"/>
  <c r="T88" i="7"/>
  <c r="S88" i="7"/>
  <c r="R88" i="7"/>
  <c r="O88" i="7"/>
  <c r="N88" i="7"/>
  <c r="L88" i="7"/>
  <c r="K88" i="7"/>
  <c r="T87" i="7"/>
  <c r="S87" i="7"/>
  <c r="R87" i="7"/>
  <c r="O87" i="7"/>
  <c r="N87" i="7"/>
  <c r="L87" i="7"/>
  <c r="K87" i="7"/>
  <c r="T86" i="7"/>
  <c r="S86" i="7"/>
  <c r="R86" i="7"/>
  <c r="O86" i="7"/>
  <c r="N86" i="7"/>
  <c r="L86" i="7"/>
  <c r="K86" i="7"/>
  <c r="T85" i="7"/>
  <c r="S85" i="7"/>
  <c r="R85" i="7"/>
  <c r="O85" i="7"/>
  <c r="N85" i="7"/>
  <c r="L85" i="7"/>
  <c r="K85" i="7"/>
  <c r="T84" i="7"/>
  <c r="S84" i="7"/>
  <c r="R84" i="7"/>
  <c r="O84" i="7"/>
  <c r="N84" i="7"/>
  <c r="L84" i="7"/>
  <c r="K84" i="7"/>
  <c r="T83" i="7"/>
  <c r="S83" i="7"/>
  <c r="R83" i="7"/>
  <c r="O83" i="7"/>
  <c r="N83" i="7"/>
  <c r="L83" i="7"/>
  <c r="K83" i="7"/>
  <c r="T82" i="7"/>
  <c r="S82" i="7"/>
  <c r="R82" i="7"/>
  <c r="O82" i="7"/>
  <c r="N82" i="7"/>
  <c r="L82" i="7"/>
  <c r="K82" i="7"/>
  <c r="T81" i="7"/>
  <c r="S81" i="7"/>
  <c r="R81" i="7"/>
  <c r="O81" i="7"/>
  <c r="N81" i="7"/>
  <c r="L81" i="7"/>
  <c r="K81" i="7"/>
  <c r="T80" i="7"/>
  <c r="S80" i="7"/>
  <c r="R80" i="7"/>
  <c r="O80" i="7"/>
  <c r="N80" i="7"/>
  <c r="L80" i="7"/>
  <c r="K80" i="7"/>
  <c r="T79" i="7"/>
  <c r="S79" i="7"/>
  <c r="R79" i="7"/>
  <c r="O79" i="7"/>
  <c r="N79" i="7"/>
  <c r="L79" i="7"/>
  <c r="K79" i="7"/>
  <c r="T78" i="7"/>
  <c r="S78" i="7"/>
  <c r="R78" i="7"/>
  <c r="O78" i="7"/>
  <c r="N78" i="7"/>
  <c r="L78" i="7"/>
  <c r="K78" i="7"/>
  <c r="T77" i="7"/>
  <c r="S77" i="7"/>
  <c r="R77" i="7"/>
  <c r="O77" i="7"/>
  <c r="N77" i="7"/>
  <c r="L77" i="7"/>
  <c r="K77" i="7"/>
  <c r="T76" i="7"/>
  <c r="S76" i="7"/>
  <c r="R76" i="7"/>
  <c r="O76" i="7"/>
  <c r="N76" i="7"/>
  <c r="L76" i="7"/>
  <c r="K76" i="7"/>
  <c r="T75" i="7"/>
  <c r="S75" i="7"/>
  <c r="R75" i="7"/>
  <c r="O75" i="7"/>
  <c r="N75" i="7"/>
  <c r="L75" i="7"/>
  <c r="K75" i="7"/>
  <c r="T74" i="7"/>
  <c r="S74" i="7"/>
  <c r="R74" i="7"/>
  <c r="O74" i="7"/>
  <c r="N74" i="7"/>
  <c r="L74" i="7"/>
  <c r="K74" i="7"/>
  <c r="T73" i="7"/>
  <c r="S73" i="7"/>
  <c r="R73" i="7"/>
  <c r="O73" i="7"/>
  <c r="N73" i="7"/>
  <c r="L73" i="7"/>
  <c r="K73" i="7"/>
  <c r="T72" i="7"/>
  <c r="S72" i="7"/>
  <c r="R72" i="7"/>
  <c r="O72" i="7"/>
  <c r="N72" i="7"/>
  <c r="L72" i="7"/>
  <c r="K72" i="7"/>
  <c r="T71" i="7"/>
  <c r="S71" i="7"/>
  <c r="R71" i="7"/>
  <c r="O71" i="7"/>
  <c r="N71" i="7"/>
  <c r="L71" i="7"/>
  <c r="K71" i="7"/>
  <c r="T70" i="7"/>
  <c r="S70" i="7"/>
  <c r="R70" i="7"/>
  <c r="O70" i="7"/>
  <c r="N70" i="7"/>
  <c r="L70" i="7"/>
  <c r="K70" i="7"/>
  <c r="T69" i="7"/>
  <c r="S69" i="7"/>
  <c r="R69" i="7"/>
  <c r="O69" i="7"/>
  <c r="N69" i="7"/>
  <c r="L69" i="7"/>
  <c r="K69" i="7"/>
  <c r="T68" i="7"/>
  <c r="S68" i="7"/>
  <c r="R68" i="7"/>
  <c r="O68" i="7"/>
  <c r="N68" i="7"/>
  <c r="L68" i="7"/>
  <c r="K68" i="7"/>
  <c r="T67" i="7"/>
  <c r="S67" i="7"/>
  <c r="R67" i="7"/>
  <c r="O67" i="7"/>
  <c r="N67" i="7"/>
  <c r="L67" i="7"/>
  <c r="K67" i="7"/>
  <c r="T66" i="7"/>
  <c r="S66" i="7"/>
  <c r="R66" i="7"/>
  <c r="O66" i="7"/>
  <c r="N66" i="7"/>
  <c r="L66" i="7"/>
  <c r="K66" i="7"/>
  <c r="T65" i="7"/>
  <c r="S65" i="7"/>
  <c r="R65" i="7"/>
  <c r="O65" i="7"/>
  <c r="N65" i="7"/>
  <c r="L65" i="7"/>
  <c r="K65" i="7"/>
  <c r="T64" i="7"/>
  <c r="S64" i="7"/>
  <c r="R64" i="7"/>
  <c r="O64" i="7"/>
  <c r="N64" i="7"/>
  <c r="L64" i="7"/>
  <c r="K64" i="7"/>
  <c r="T63" i="7"/>
  <c r="S63" i="7"/>
  <c r="R63" i="7"/>
  <c r="O63" i="7"/>
  <c r="N63" i="7"/>
  <c r="L63" i="7"/>
  <c r="K63" i="7"/>
  <c r="T62" i="7"/>
  <c r="S62" i="7"/>
  <c r="R62" i="7"/>
  <c r="O62" i="7"/>
  <c r="N62" i="7"/>
  <c r="L62" i="7"/>
  <c r="K62" i="7"/>
  <c r="T61" i="7"/>
  <c r="S61" i="7"/>
  <c r="R61" i="7"/>
  <c r="O61" i="7"/>
  <c r="N61" i="7"/>
  <c r="L61" i="7"/>
  <c r="K61" i="7"/>
  <c r="T60" i="7"/>
  <c r="S60" i="7"/>
  <c r="R60" i="7"/>
  <c r="O60" i="7"/>
  <c r="N60" i="7"/>
  <c r="L60" i="7"/>
  <c r="K60" i="7"/>
  <c r="T59" i="7"/>
  <c r="S59" i="7"/>
  <c r="R59" i="7"/>
  <c r="O59" i="7"/>
  <c r="N59" i="7"/>
  <c r="L59" i="7"/>
  <c r="K59" i="7"/>
  <c r="T58" i="7"/>
  <c r="S58" i="7"/>
  <c r="R58" i="7"/>
  <c r="O58" i="7"/>
  <c r="N58" i="7"/>
  <c r="L58" i="7"/>
  <c r="K58" i="7"/>
  <c r="T57" i="7"/>
  <c r="S57" i="7"/>
  <c r="R57" i="7"/>
  <c r="O57" i="7"/>
  <c r="N57" i="7"/>
  <c r="L57" i="7"/>
  <c r="K57" i="7"/>
  <c r="T56" i="7"/>
  <c r="S56" i="7"/>
  <c r="R56" i="7"/>
  <c r="O56" i="7"/>
  <c r="N56" i="7"/>
  <c r="L56" i="7"/>
  <c r="K56" i="7"/>
  <c r="T55" i="7"/>
  <c r="S55" i="7"/>
  <c r="R55" i="7"/>
  <c r="O55" i="7"/>
  <c r="N55" i="7"/>
  <c r="L55" i="7"/>
  <c r="K55" i="7"/>
  <c r="T54" i="7"/>
  <c r="S54" i="7"/>
  <c r="R54" i="7"/>
  <c r="O54" i="7"/>
  <c r="N54" i="7"/>
  <c r="L54" i="7"/>
  <c r="K54" i="7"/>
  <c r="T53" i="7"/>
  <c r="S53" i="7"/>
  <c r="R53" i="7"/>
  <c r="O53" i="7"/>
  <c r="N53" i="7"/>
  <c r="L53" i="7"/>
  <c r="K53" i="7"/>
  <c r="T52" i="7"/>
  <c r="S52" i="7"/>
  <c r="R52" i="7"/>
  <c r="O52" i="7"/>
  <c r="N52" i="7"/>
  <c r="L52" i="7"/>
  <c r="K52" i="7"/>
  <c r="T51" i="7"/>
  <c r="S51" i="7"/>
  <c r="R51" i="7"/>
  <c r="O51" i="7"/>
  <c r="N51" i="7"/>
  <c r="L51" i="7"/>
  <c r="K51" i="7"/>
  <c r="T50" i="7"/>
  <c r="S50" i="7"/>
  <c r="R50" i="7"/>
  <c r="O50" i="7"/>
  <c r="N50" i="7"/>
  <c r="L50" i="7"/>
  <c r="K50" i="7"/>
  <c r="T49" i="7"/>
  <c r="S49" i="7"/>
  <c r="R49" i="7"/>
  <c r="O49" i="7"/>
  <c r="N49" i="7"/>
  <c r="L49" i="7"/>
  <c r="K49" i="7"/>
  <c r="T48" i="7"/>
  <c r="S48" i="7"/>
  <c r="R48" i="7"/>
  <c r="O48" i="7"/>
  <c r="N48" i="7"/>
  <c r="L48" i="7"/>
  <c r="K48" i="7"/>
  <c r="T47" i="7"/>
  <c r="S47" i="7"/>
  <c r="R47" i="7"/>
  <c r="O47" i="7"/>
  <c r="N47" i="7"/>
  <c r="L47" i="7"/>
  <c r="K47" i="7"/>
  <c r="T46" i="7"/>
  <c r="S46" i="7"/>
  <c r="R46" i="7"/>
  <c r="O46" i="7"/>
  <c r="N46" i="7"/>
  <c r="L46" i="7"/>
  <c r="K46" i="7"/>
  <c r="T45" i="7"/>
  <c r="S45" i="7"/>
  <c r="R45" i="7"/>
  <c r="O45" i="7"/>
  <c r="N45" i="7"/>
  <c r="L45" i="7"/>
  <c r="K45" i="7"/>
  <c r="T44" i="7"/>
  <c r="S44" i="7"/>
  <c r="R44" i="7"/>
  <c r="O44" i="7"/>
  <c r="N44" i="7"/>
  <c r="L44" i="7"/>
  <c r="K44" i="7"/>
  <c r="T43" i="7"/>
  <c r="S43" i="7"/>
  <c r="R43" i="7"/>
  <c r="O43" i="7"/>
  <c r="N43" i="7"/>
  <c r="L43" i="7"/>
  <c r="K43" i="7"/>
  <c r="T42" i="7"/>
  <c r="S42" i="7"/>
  <c r="R42" i="7"/>
  <c r="O42" i="7"/>
  <c r="N42" i="7"/>
  <c r="L42" i="7"/>
  <c r="K42" i="7"/>
  <c r="T41" i="7"/>
  <c r="S41" i="7"/>
  <c r="R41" i="7"/>
  <c r="O41" i="7"/>
  <c r="N41" i="7"/>
  <c r="L41" i="7"/>
  <c r="K41" i="7"/>
  <c r="T40" i="7"/>
  <c r="S40" i="7"/>
  <c r="R40" i="7"/>
  <c r="O40" i="7"/>
  <c r="N40" i="7"/>
  <c r="L40" i="7"/>
  <c r="K40" i="7"/>
  <c r="T39" i="7"/>
  <c r="S39" i="7"/>
  <c r="R39" i="7"/>
  <c r="O39" i="7"/>
  <c r="N39" i="7"/>
  <c r="L39" i="7"/>
  <c r="K39" i="7"/>
  <c r="T38" i="7"/>
  <c r="S38" i="7"/>
  <c r="R38" i="7"/>
  <c r="O38" i="7"/>
  <c r="N38" i="7"/>
  <c r="L38" i="7"/>
  <c r="K38" i="7"/>
  <c r="T37" i="7"/>
  <c r="S37" i="7"/>
  <c r="R37" i="7"/>
  <c r="O37" i="7"/>
  <c r="N37" i="7"/>
  <c r="L37" i="7"/>
  <c r="K37" i="7"/>
  <c r="T36" i="7"/>
  <c r="S36" i="7"/>
  <c r="R36" i="7"/>
  <c r="O36" i="7"/>
  <c r="N36" i="7"/>
  <c r="L36" i="7"/>
  <c r="K36" i="7"/>
  <c r="T35" i="7"/>
  <c r="S35" i="7"/>
  <c r="R35" i="7"/>
  <c r="O35" i="7"/>
  <c r="N35" i="7"/>
  <c r="L35" i="7"/>
  <c r="K35" i="7"/>
  <c r="T34" i="7"/>
  <c r="S34" i="7"/>
  <c r="R34" i="7"/>
  <c r="O34" i="7"/>
  <c r="N34" i="7"/>
  <c r="L34" i="7"/>
  <c r="K34" i="7"/>
  <c r="T33" i="7"/>
  <c r="S33" i="7"/>
  <c r="R33" i="7"/>
  <c r="O33" i="7"/>
  <c r="N33" i="7"/>
  <c r="L33" i="7"/>
  <c r="K33" i="7"/>
  <c r="T32" i="7"/>
  <c r="S32" i="7"/>
  <c r="R32" i="7"/>
  <c r="O32" i="7"/>
  <c r="N32" i="7"/>
  <c r="L32" i="7"/>
  <c r="K32" i="7"/>
  <c r="T31" i="7"/>
  <c r="S31" i="7"/>
  <c r="R31" i="7"/>
  <c r="O31" i="7"/>
  <c r="N31" i="7"/>
  <c r="L31" i="7"/>
  <c r="K31" i="7"/>
  <c r="T30" i="7"/>
  <c r="S30" i="7"/>
  <c r="R30" i="7"/>
  <c r="O30" i="7"/>
  <c r="N30" i="7"/>
  <c r="L30" i="7"/>
  <c r="K30" i="7"/>
  <c r="T29" i="7"/>
  <c r="S29" i="7"/>
  <c r="R29" i="7"/>
  <c r="O29" i="7"/>
  <c r="N29" i="7"/>
  <c r="L29" i="7"/>
  <c r="K29" i="7"/>
  <c r="T28" i="7"/>
  <c r="S28" i="7"/>
  <c r="R28" i="7"/>
  <c r="O28" i="7"/>
  <c r="N28" i="7"/>
  <c r="L28" i="7"/>
  <c r="K28" i="7"/>
  <c r="T27" i="7"/>
  <c r="S27" i="7"/>
  <c r="R27" i="7"/>
  <c r="O27" i="7"/>
  <c r="N27" i="7"/>
  <c r="L27" i="7"/>
  <c r="K27" i="7"/>
  <c r="T26" i="7"/>
  <c r="S26" i="7"/>
  <c r="R26" i="7"/>
  <c r="O26" i="7"/>
  <c r="N26" i="7"/>
  <c r="L26" i="7"/>
  <c r="K26" i="7"/>
  <c r="T25" i="7"/>
  <c r="S25" i="7"/>
  <c r="R25" i="7"/>
  <c r="O25" i="7"/>
  <c r="N25" i="7"/>
  <c r="L25" i="7"/>
  <c r="K25" i="7"/>
  <c r="T24" i="7"/>
  <c r="S24" i="7"/>
  <c r="R24" i="7"/>
  <c r="O24" i="7"/>
  <c r="N24" i="7"/>
  <c r="L24" i="7"/>
  <c r="K24" i="7"/>
  <c r="T23" i="7"/>
  <c r="S23" i="7"/>
  <c r="R23" i="7"/>
  <c r="O23" i="7"/>
  <c r="N23" i="7"/>
  <c r="L23" i="7"/>
  <c r="K23" i="7"/>
  <c r="T22" i="7"/>
  <c r="S22" i="7"/>
  <c r="R22" i="7"/>
  <c r="O22" i="7"/>
  <c r="N22" i="7"/>
  <c r="L22" i="7"/>
  <c r="K22" i="7"/>
  <c r="T21" i="7"/>
  <c r="S21" i="7"/>
  <c r="R21" i="7"/>
  <c r="O21" i="7"/>
  <c r="N21" i="7"/>
  <c r="L21" i="7"/>
  <c r="K21" i="7"/>
  <c r="T20" i="7"/>
  <c r="S20" i="7"/>
  <c r="R20" i="7"/>
  <c r="O20" i="7"/>
  <c r="N20" i="7"/>
  <c r="L20" i="7"/>
  <c r="K20" i="7"/>
  <c r="T19" i="7"/>
  <c r="S19" i="7"/>
  <c r="R19" i="7"/>
  <c r="O19" i="7"/>
  <c r="N19" i="7"/>
  <c r="L19" i="7"/>
  <c r="K19" i="7"/>
  <c r="T18" i="7"/>
  <c r="S18" i="7"/>
  <c r="R18" i="7"/>
  <c r="O18" i="7"/>
  <c r="N18" i="7"/>
  <c r="L18" i="7"/>
  <c r="K18" i="7"/>
  <c r="T17" i="7"/>
  <c r="S17" i="7"/>
  <c r="R17" i="7"/>
  <c r="O17" i="7"/>
  <c r="N17" i="7"/>
  <c r="L17" i="7"/>
  <c r="K17" i="7"/>
  <c r="T16" i="7"/>
  <c r="S16" i="7"/>
  <c r="R16" i="7"/>
  <c r="O16" i="7"/>
  <c r="N16" i="7"/>
  <c r="L16" i="7"/>
  <c r="K16" i="7"/>
  <c r="T15" i="7"/>
  <c r="S15" i="7"/>
  <c r="R15" i="7"/>
  <c r="O15" i="7"/>
  <c r="N15" i="7"/>
  <c r="L15" i="7"/>
  <c r="K15" i="7"/>
  <c r="T14" i="7"/>
  <c r="S14" i="7"/>
  <c r="R14" i="7"/>
  <c r="O14" i="7"/>
  <c r="N14" i="7"/>
  <c r="L14" i="7"/>
  <c r="K14" i="7"/>
  <c r="T13" i="7"/>
  <c r="S13" i="7"/>
  <c r="R13" i="7"/>
  <c r="O13" i="7"/>
  <c r="N13" i="7"/>
  <c r="L13" i="7"/>
  <c r="K13" i="7"/>
  <c r="T12" i="7"/>
  <c r="S12" i="7"/>
  <c r="R12" i="7"/>
  <c r="O12" i="7"/>
  <c r="N12" i="7"/>
  <c r="L12" i="7"/>
  <c r="K12" i="7"/>
  <c r="T11" i="7"/>
  <c r="S11" i="7"/>
  <c r="R11" i="7"/>
  <c r="O11" i="7"/>
  <c r="N11" i="7"/>
  <c r="L11" i="7"/>
  <c r="K11" i="7"/>
  <c r="H110" i="7"/>
  <c r="G110" i="7"/>
  <c r="H109" i="7"/>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16" i="7"/>
  <c r="G16" i="7"/>
  <c r="H15" i="7"/>
  <c r="G15" i="7"/>
  <c r="H14" i="7"/>
  <c r="G14" i="7"/>
  <c r="H13" i="7"/>
  <c r="G13" i="7"/>
  <c r="H12" i="7"/>
  <c r="G12" i="7"/>
  <c r="H11" i="7"/>
  <c r="G11" i="7"/>
  <c r="F110" i="7"/>
  <c r="F109" i="7"/>
  <c r="F108" i="7"/>
  <c r="F107" i="7"/>
  <c r="F106" i="7"/>
  <c r="F105" i="7"/>
  <c r="F104" i="7"/>
  <c r="F103" i="7"/>
  <c r="F102" i="7"/>
  <c r="F101" i="7"/>
  <c r="F100" i="7"/>
  <c r="F99" i="7"/>
  <c r="F98" i="7"/>
  <c r="F97" i="7"/>
  <c r="F96" i="7"/>
  <c r="F95" i="7"/>
  <c r="F94" i="7"/>
  <c r="F93" i="7"/>
  <c r="F92" i="7"/>
  <c r="F91" i="7"/>
  <c r="F90" i="7"/>
  <c r="F89" i="7"/>
  <c r="F88" i="7"/>
  <c r="F87" i="7"/>
  <c r="F86" i="7"/>
  <c r="F85" i="7"/>
  <c r="F84" i="7"/>
  <c r="F83" i="7"/>
  <c r="F82" i="7"/>
  <c r="F81" i="7"/>
  <c r="F80" i="7"/>
  <c r="F79" i="7"/>
  <c r="F78" i="7"/>
  <c r="F77" i="7"/>
  <c r="F76" i="7"/>
  <c r="F75" i="7"/>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Y110" i="1" l="1"/>
  <c r="Y109" i="1"/>
  <c r="Y108" i="1"/>
  <c r="Y107" i="1"/>
  <c r="Y106" i="1"/>
  <c r="Y105" i="1"/>
  <c r="Y104" i="1"/>
  <c r="Y103" i="1"/>
  <c r="Y102" i="1"/>
  <c r="Y101" i="1"/>
  <c r="Y100" i="1"/>
  <c r="Y99" i="1"/>
  <c r="Y98" i="1"/>
  <c r="Y97" i="1"/>
  <c r="Y96" i="1"/>
  <c r="Y95" i="1"/>
  <c r="Y94" i="1"/>
  <c r="Y93" i="1"/>
  <c r="Y92" i="1"/>
  <c r="Y91" i="1"/>
  <c r="Y90" i="1"/>
  <c r="Y89" i="1"/>
  <c r="Y88" i="1"/>
  <c r="Y87" i="1"/>
  <c r="Y86" i="1"/>
  <c r="Y85" i="1"/>
  <c r="Y84" i="1"/>
  <c r="Y83" i="1"/>
  <c r="Y82" i="1"/>
  <c r="Y81" i="1"/>
  <c r="Y80" i="1"/>
  <c r="Y79" i="1"/>
  <c r="Y78" i="1"/>
  <c r="Y77" i="1"/>
  <c r="Y76" i="1"/>
  <c r="Y75" i="1"/>
  <c r="Y74" i="1"/>
  <c r="Y73" i="1"/>
  <c r="Y72" i="1"/>
  <c r="Y71" i="1"/>
  <c r="Y70" i="1"/>
  <c r="Y69" i="1"/>
  <c r="Y68" i="1"/>
  <c r="Y67" i="1"/>
  <c r="Y66" i="1"/>
  <c r="Y65" i="1"/>
  <c r="Y64" i="1"/>
  <c r="Y63" i="1"/>
  <c r="Y62" i="1"/>
  <c r="Y61" i="1"/>
  <c r="Y60" i="1"/>
  <c r="Y59" i="1"/>
  <c r="Y58" i="1"/>
  <c r="Y57" i="1"/>
  <c r="Y56" i="1"/>
  <c r="Y55" i="1"/>
  <c r="Y54" i="1"/>
  <c r="Y53" i="1"/>
  <c r="Y52" i="1"/>
  <c r="Y51" i="1"/>
  <c r="Y50" i="1"/>
  <c r="Y49" i="1"/>
  <c r="Y48" i="1"/>
  <c r="Y47" i="1"/>
  <c r="Y46" i="1"/>
  <c r="Y45" i="1"/>
  <c r="Y44" i="1"/>
  <c r="Y43" i="1"/>
  <c r="Y42" i="1"/>
  <c r="Y41" i="1"/>
  <c r="Y40" i="1"/>
  <c r="Y39" i="1"/>
  <c r="Y38" i="1"/>
  <c r="Y37" i="1"/>
  <c r="Y36" i="1"/>
  <c r="Y35" i="1"/>
  <c r="Y34" i="1"/>
  <c r="Y33" i="1"/>
  <c r="Y32" i="1"/>
  <c r="Y31" i="1"/>
  <c r="Y30" i="1"/>
  <c r="Y29" i="1"/>
  <c r="Y28" i="1"/>
  <c r="Y27" i="1"/>
  <c r="Y26" i="1"/>
  <c r="Y25" i="1"/>
  <c r="Y24" i="1"/>
  <c r="Y23" i="1"/>
  <c r="Y22" i="1"/>
  <c r="Y21" i="1"/>
  <c r="Y20" i="1"/>
  <c r="Y19" i="1"/>
  <c r="Y18" i="1"/>
  <c r="Y17" i="1"/>
  <c r="Y16" i="1"/>
  <c r="Y15" i="1"/>
  <c r="Y14" i="1"/>
  <c r="Y13" i="1"/>
  <c r="Y12" i="1"/>
  <c r="Y11" i="1"/>
  <c r="E6" i="3"/>
  <c r="I110" i="1" l="1"/>
  <c r="I109" i="1"/>
  <c r="I108" i="1"/>
  <c r="I107" i="1"/>
  <c r="I106" i="1"/>
  <c r="I105" i="1"/>
  <c r="I104" i="1"/>
  <c r="I103" i="1"/>
  <c r="I102" i="1"/>
  <c r="I101" i="1"/>
  <c r="I100" i="1"/>
  <c r="I99" i="1"/>
  <c r="I98" i="1"/>
  <c r="I97" i="1"/>
  <c r="I96" i="1"/>
  <c r="I96" i="7" s="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5" i="7" s="1"/>
  <c r="I54" i="1"/>
  <c r="I53" i="1"/>
  <c r="I52" i="1"/>
  <c r="I51" i="1"/>
  <c r="I50" i="1"/>
  <c r="I49" i="1"/>
  <c r="I49" i="7" s="1"/>
  <c r="I48" i="1"/>
  <c r="I47" i="1"/>
  <c r="I47" i="7" s="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J37" i="1" l="1"/>
  <c r="J37" i="7" s="1"/>
  <c r="I37" i="7"/>
  <c r="J83" i="1"/>
  <c r="I83" i="7"/>
  <c r="J13" i="1"/>
  <c r="J13" i="7" s="1"/>
  <c r="I13" i="7"/>
  <c r="J11" i="1"/>
  <c r="J11" i="7" s="1"/>
  <c r="I11" i="7"/>
  <c r="J27" i="1"/>
  <c r="J27" i="7" s="1"/>
  <c r="I27" i="7"/>
  <c r="J35" i="1"/>
  <c r="I35" i="7"/>
  <c r="J43" i="1"/>
  <c r="J43" i="7" s="1"/>
  <c r="I43" i="7"/>
  <c r="J51" i="1"/>
  <c r="J51" i="7" s="1"/>
  <c r="I51" i="7"/>
  <c r="J59" i="1"/>
  <c r="J59" i="7" s="1"/>
  <c r="I59" i="7"/>
  <c r="J67" i="1"/>
  <c r="J67" i="7" s="1"/>
  <c r="I67" i="7"/>
  <c r="J75" i="1"/>
  <c r="J75" i="7" s="1"/>
  <c r="I75" i="7"/>
  <c r="J91" i="1"/>
  <c r="I91" i="7"/>
  <c r="J99" i="1"/>
  <c r="I99" i="7"/>
  <c r="J107" i="1"/>
  <c r="I107" i="7"/>
  <c r="J12" i="1"/>
  <c r="J12" i="7" s="1"/>
  <c r="I12" i="7"/>
  <c r="J20" i="1"/>
  <c r="J20" i="7" s="1"/>
  <c r="I20" i="7"/>
  <c r="J28" i="1"/>
  <c r="J28" i="7" s="1"/>
  <c r="I28" i="7"/>
  <c r="J36" i="1"/>
  <c r="J36" i="7" s="1"/>
  <c r="I36" i="7"/>
  <c r="J44" i="1"/>
  <c r="J44" i="7" s="1"/>
  <c r="I44" i="7"/>
  <c r="J52" i="1"/>
  <c r="J52" i="7" s="1"/>
  <c r="I52" i="7"/>
  <c r="J60" i="1"/>
  <c r="J60" i="7" s="1"/>
  <c r="I60" i="7"/>
  <c r="J68" i="1"/>
  <c r="J68" i="7" s="1"/>
  <c r="I68" i="7"/>
  <c r="J76" i="1"/>
  <c r="J76" i="7" s="1"/>
  <c r="I76" i="7"/>
  <c r="J84" i="1"/>
  <c r="I84" i="7"/>
  <c r="J92" i="1"/>
  <c r="I92" i="7"/>
  <c r="J100" i="1"/>
  <c r="I100" i="7"/>
  <c r="J108" i="1"/>
  <c r="I108" i="7"/>
  <c r="J45" i="1"/>
  <c r="J45" i="7" s="1"/>
  <c r="I45" i="7"/>
  <c r="J93" i="1"/>
  <c r="I93" i="7"/>
  <c r="J22" i="1"/>
  <c r="I22" i="7"/>
  <c r="J54" i="1"/>
  <c r="J54" i="7" s="1"/>
  <c r="I54" i="7"/>
  <c r="J102" i="1"/>
  <c r="I102" i="7"/>
  <c r="J63" i="1"/>
  <c r="J63" i="7" s="1"/>
  <c r="I63" i="7"/>
  <c r="J71" i="1"/>
  <c r="J71" i="7" s="1"/>
  <c r="I71" i="7"/>
  <c r="J79" i="1"/>
  <c r="I79" i="7"/>
  <c r="J87" i="1"/>
  <c r="I87" i="7"/>
  <c r="J95" i="1"/>
  <c r="I95" i="7"/>
  <c r="J103" i="1"/>
  <c r="I103" i="7"/>
  <c r="J47" i="1"/>
  <c r="J47" i="7" s="1"/>
  <c r="J21" i="1"/>
  <c r="J21" i="7" s="1"/>
  <c r="I21" i="7"/>
  <c r="J69" i="1"/>
  <c r="J69" i="7" s="1"/>
  <c r="I69" i="7"/>
  <c r="J85" i="1"/>
  <c r="I85" i="7"/>
  <c r="J14" i="1"/>
  <c r="I14" i="7"/>
  <c r="J46" i="1"/>
  <c r="J46" i="7" s="1"/>
  <c r="I46" i="7"/>
  <c r="J78" i="1"/>
  <c r="I78" i="7"/>
  <c r="J94" i="1"/>
  <c r="I94" i="7"/>
  <c r="J31" i="1"/>
  <c r="J31" i="7" s="1"/>
  <c r="I31" i="7"/>
  <c r="J24" i="1"/>
  <c r="I24" i="7"/>
  <c r="J40" i="1"/>
  <c r="J40" i="7" s="1"/>
  <c r="I40" i="7"/>
  <c r="J48" i="1"/>
  <c r="J48" i="7" s="1"/>
  <c r="I48" i="7"/>
  <c r="J56" i="1"/>
  <c r="J56" i="7" s="1"/>
  <c r="I56" i="7"/>
  <c r="J64" i="1"/>
  <c r="J64" i="7" s="1"/>
  <c r="I64" i="7"/>
  <c r="J72" i="1"/>
  <c r="J72" i="7" s="1"/>
  <c r="I72" i="7"/>
  <c r="J80" i="1"/>
  <c r="I80" i="7"/>
  <c r="J88" i="1"/>
  <c r="I88" i="7"/>
  <c r="J104" i="1"/>
  <c r="I104" i="7"/>
  <c r="J49" i="1"/>
  <c r="J49" i="7" s="1"/>
  <c r="J29" i="1"/>
  <c r="J29" i="7" s="1"/>
  <c r="I29" i="7"/>
  <c r="J61" i="1"/>
  <c r="J61" i="7" s="1"/>
  <c r="I61" i="7"/>
  <c r="J77" i="1"/>
  <c r="I77" i="7"/>
  <c r="J101" i="1"/>
  <c r="I101" i="7"/>
  <c r="J30" i="1"/>
  <c r="I30" i="7"/>
  <c r="J62" i="1"/>
  <c r="J62" i="7" s="1"/>
  <c r="I62" i="7"/>
  <c r="J110" i="1"/>
  <c r="I110" i="7"/>
  <c r="J23" i="1"/>
  <c r="J23" i="7" s="1"/>
  <c r="I23" i="7"/>
  <c r="J16" i="1"/>
  <c r="J16" i="7" s="1"/>
  <c r="I16" i="7"/>
  <c r="J17" i="1"/>
  <c r="I17" i="7"/>
  <c r="J41" i="1"/>
  <c r="J41" i="7" s="1"/>
  <c r="I41" i="7"/>
  <c r="J57" i="1"/>
  <c r="J57" i="7" s="1"/>
  <c r="I57" i="7"/>
  <c r="J65" i="1"/>
  <c r="J65" i="7" s="1"/>
  <c r="I65" i="7"/>
  <c r="J73" i="1"/>
  <c r="J73" i="7" s="1"/>
  <c r="I73" i="7"/>
  <c r="J81" i="1"/>
  <c r="I81" i="7"/>
  <c r="J89" i="1"/>
  <c r="I89" i="7"/>
  <c r="J97" i="1"/>
  <c r="I97" i="7"/>
  <c r="J105" i="1"/>
  <c r="I105" i="7"/>
  <c r="J55" i="1"/>
  <c r="J55" i="7" s="1"/>
  <c r="J53" i="1"/>
  <c r="J53" i="7" s="1"/>
  <c r="I53" i="7"/>
  <c r="J109" i="1"/>
  <c r="I109" i="7"/>
  <c r="J38" i="1"/>
  <c r="J38" i="7" s="1"/>
  <c r="I38" i="7"/>
  <c r="J70" i="1"/>
  <c r="I70" i="7"/>
  <c r="J86" i="1"/>
  <c r="I86" i="7"/>
  <c r="J15" i="1"/>
  <c r="J15" i="7" s="1"/>
  <c r="I15" i="7"/>
  <c r="J39" i="1"/>
  <c r="J39" i="7" s="1"/>
  <c r="I39" i="7"/>
  <c r="J32" i="1"/>
  <c r="J32" i="7" s="1"/>
  <c r="I32" i="7"/>
  <c r="J25" i="1"/>
  <c r="J25" i="7" s="1"/>
  <c r="I25" i="7"/>
  <c r="J33" i="1"/>
  <c r="J33" i="7" s="1"/>
  <c r="I33" i="7"/>
  <c r="J18" i="1"/>
  <c r="J18" i="7" s="1"/>
  <c r="I18" i="7"/>
  <c r="J26" i="1"/>
  <c r="J26" i="7" s="1"/>
  <c r="I26" i="7"/>
  <c r="J34" i="1"/>
  <c r="J34" i="7" s="1"/>
  <c r="I34" i="7"/>
  <c r="J42" i="1"/>
  <c r="J42" i="7" s="1"/>
  <c r="I42" i="7"/>
  <c r="J50" i="1"/>
  <c r="J50" i="7" s="1"/>
  <c r="I50" i="7"/>
  <c r="J58" i="1"/>
  <c r="J58" i="7" s="1"/>
  <c r="I58" i="7"/>
  <c r="J66" i="1"/>
  <c r="J66" i="7" s="1"/>
  <c r="I66" i="7"/>
  <c r="J74" i="1"/>
  <c r="J74" i="7" s="1"/>
  <c r="I74" i="7"/>
  <c r="J82" i="1"/>
  <c r="I82" i="7"/>
  <c r="J90" i="1"/>
  <c r="I90" i="7"/>
  <c r="J98" i="1"/>
  <c r="I98" i="7"/>
  <c r="J106" i="1"/>
  <c r="I106" i="7"/>
  <c r="J96" i="1"/>
  <c r="J19" i="1"/>
  <c r="J19" i="7" s="1"/>
  <c r="I19" i="7"/>
  <c r="M110" i="1"/>
  <c r="M110" i="7" s="1"/>
  <c r="M109" i="1"/>
  <c r="M109" i="7" s="1"/>
  <c r="M108" i="1"/>
  <c r="M108" i="7" s="1"/>
  <c r="M107" i="1"/>
  <c r="M107" i="7" s="1"/>
  <c r="M106" i="1"/>
  <c r="M106" i="7" s="1"/>
  <c r="M105" i="1"/>
  <c r="M105" i="7" s="1"/>
  <c r="M104" i="1"/>
  <c r="M104" i="7" s="1"/>
  <c r="M103" i="1"/>
  <c r="M103" i="7" s="1"/>
  <c r="M102" i="1"/>
  <c r="M102" i="7" s="1"/>
  <c r="M101" i="1"/>
  <c r="M101" i="7" s="1"/>
  <c r="M100" i="1"/>
  <c r="M100" i="7" s="1"/>
  <c r="M99" i="1"/>
  <c r="M99" i="7" s="1"/>
  <c r="M98" i="1"/>
  <c r="M98" i="7" s="1"/>
  <c r="M97" i="1"/>
  <c r="M97" i="7" s="1"/>
  <c r="M96" i="1"/>
  <c r="M96" i="7" s="1"/>
  <c r="M95" i="1"/>
  <c r="M95" i="7" s="1"/>
  <c r="M94" i="1"/>
  <c r="M94" i="7" s="1"/>
  <c r="M93" i="1"/>
  <c r="M93" i="7" s="1"/>
  <c r="M92" i="1"/>
  <c r="M92" i="7" s="1"/>
  <c r="M91" i="1"/>
  <c r="M91" i="7" s="1"/>
  <c r="M90" i="1"/>
  <c r="M90" i="7" s="1"/>
  <c r="M89" i="1"/>
  <c r="M89" i="7" s="1"/>
  <c r="M88" i="1"/>
  <c r="M88" i="7" s="1"/>
  <c r="M87" i="1"/>
  <c r="M87" i="7" s="1"/>
  <c r="M86" i="1"/>
  <c r="M86" i="7" s="1"/>
  <c r="M85" i="1"/>
  <c r="M85" i="7" s="1"/>
  <c r="M84" i="1"/>
  <c r="M84" i="7" s="1"/>
  <c r="M83" i="1"/>
  <c r="M83" i="7" s="1"/>
  <c r="M82" i="1"/>
  <c r="M82" i="7" s="1"/>
  <c r="M81" i="1"/>
  <c r="M81" i="7" s="1"/>
  <c r="M80" i="1"/>
  <c r="M80" i="7" s="1"/>
  <c r="M79" i="1"/>
  <c r="M79" i="7" s="1"/>
  <c r="M78" i="1"/>
  <c r="M78" i="7" s="1"/>
  <c r="M77" i="1"/>
  <c r="M77" i="7" s="1"/>
  <c r="M22" i="1"/>
  <c r="M22" i="7" s="1"/>
  <c r="M17" i="1"/>
  <c r="M17" i="7" s="1"/>
  <c r="M14" i="1"/>
  <c r="M14" i="7" s="1"/>
  <c r="D6" i="7"/>
  <c r="E6" i="7"/>
  <c r="G8" i="2"/>
  <c r="U102" i="1" l="1"/>
  <c r="U102" i="7" s="1"/>
  <c r="J102" i="7"/>
  <c r="U84" i="1"/>
  <c r="U84" i="7" s="1"/>
  <c r="J84" i="7"/>
  <c r="U98" i="1"/>
  <c r="U98" i="7" s="1"/>
  <c r="J98" i="7"/>
  <c r="U86" i="1"/>
  <c r="U86" i="7" s="1"/>
  <c r="J86" i="7"/>
  <c r="U104" i="1"/>
  <c r="U104" i="7" s="1"/>
  <c r="J104" i="7"/>
  <c r="J24" i="7"/>
  <c r="U106" i="1"/>
  <c r="U106" i="7" s="1"/>
  <c r="J106" i="7"/>
  <c r="U109" i="1"/>
  <c r="U109" i="7" s="1"/>
  <c r="J109" i="7"/>
  <c r="U91" i="1"/>
  <c r="U91" i="7" s="1"/>
  <c r="J91" i="7"/>
  <c r="U81" i="1"/>
  <c r="U81" i="7" s="1"/>
  <c r="J81" i="7"/>
  <c r="U110" i="1"/>
  <c r="U110" i="7" s="1"/>
  <c r="J110" i="7"/>
  <c r="U77" i="1"/>
  <c r="U77" i="7" s="1"/>
  <c r="J77" i="7"/>
  <c r="U79" i="1"/>
  <c r="U79" i="7" s="1"/>
  <c r="J79" i="7"/>
  <c r="U108" i="1"/>
  <c r="U108" i="7" s="1"/>
  <c r="J108" i="7"/>
  <c r="U78" i="1"/>
  <c r="U78" i="7" s="1"/>
  <c r="J78" i="7"/>
  <c r="U89" i="1"/>
  <c r="U89" i="7" s="1"/>
  <c r="J89" i="7"/>
  <c r="U101" i="1"/>
  <c r="U101" i="7" s="1"/>
  <c r="J101" i="7"/>
  <c r="U87" i="1"/>
  <c r="U87" i="7" s="1"/>
  <c r="J87" i="7"/>
  <c r="U90" i="1"/>
  <c r="U90" i="7" s="1"/>
  <c r="J90" i="7"/>
  <c r="U105" i="1"/>
  <c r="U105" i="7" s="1"/>
  <c r="J105" i="7"/>
  <c r="U17" i="1"/>
  <c r="U17" i="7" s="1"/>
  <c r="J17" i="7"/>
  <c r="U103" i="1"/>
  <c r="U103" i="7" s="1"/>
  <c r="J103" i="7"/>
  <c r="J22" i="7"/>
  <c r="U100" i="1"/>
  <c r="U100" i="7" s="1"/>
  <c r="J100" i="7"/>
  <c r="U107" i="1"/>
  <c r="U107" i="7" s="1"/>
  <c r="J107" i="7"/>
  <c r="J35" i="7"/>
  <c r="U83" i="1"/>
  <c r="U83" i="7" s="1"/>
  <c r="J83" i="7"/>
  <c r="U70" i="1"/>
  <c r="U70" i="7" s="1"/>
  <c r="J70" i="7"/>
  <c r="U88" i="1"/>
  <c r="U88" i="7" s="1"/>
  <c r="J88" i="7"/>
  <c r="J14" i="7"/>
  <c r="U96" i="1"/>
  <c r="U96" i="7" s="1"/>
  <c r="J96" i="7"/>
  <c r="U82" i="1"/>
  <c r="U82" i="7" s="1"/>
  <c r="J82" i="7"/>
  <c r="U80" i="1"/>
  <c r="U80" i="7" s="1"/>
  <c r="J80" i="7"/>
  <c r="U94" i="1"/>
  <c r="U94" i="7" s="1"/>
  <c r="J94" i="7"/>
  <c r="U85" i="1"/>
  <c r="U85" i="7" s="1"/>
  <c r="J85" i="7"/>
  <c r="U97" i="1"/>
  <c r="U97" i="7" s="1"/>
  <c r="J97" i="7"/>
  <c r="J30" i="7"/>
  <c r="U95" i="1"/>
  <c r="U95" i="7" s="1"/>
  <c r="J95" i="7"/>
  <c r="U93" i="1"/>
  <c r="U93" i="7" s="1"/>
  <c r="J93" i="7"/>
  <c r="U92" i="1"/>
  <c r="U92" i="7" s="1"/>
  <c r="J92" i="7"/>
  <c r="U99" i="1"/>
  <c r="U99" i="7" s="1"/>
  <c r="J99" i="7"/>
  <c r="F11" i="2"/>
  <c r="F10" i="2"/>
  <c r="Q108" i="3"/>
  <c r="Q107" i="3"/>
  <c r="Q106" i="3"/>
  <c r="Q105" i="3"/>
  <c r="Q104" i="3"/>
  <c r="Q103" i="3"/>
  <c r="Q102" i="3"/>
  <c r="Q101" i="3"/>
  <c r="Q100" i="3"/>
  <c r="Q99" i="3"/>
  <c r="Q98" i="3"/>
  <c r="Q97" i="3"/>
  <c r="Q96" i="3"/>
  <c r="Q95" i="3"/>
  <c r="Q94" i="3"/>
  <c r="Q93" i="3"/>
  <c r="Q92" i="3"/>
  <c r="Q91" i="3"/>
  <c r="Q90" i="3"/>
  <c r="Q89" i="3"/>
  <c r="Q88" i="3"/>
  <c r="Q87" i="3"/>
  <c r="Q86" i="3"/>
  <c r="Q85" i="3"/>
  <c r="Q84" i="3"/>
  <c r="Q83" i="3"/>
  <c r="Q82" i="3"/>
  <c r="Q81" i="3"/>
  <c r="Q80" i="3"/>
  <c r="Q79" i="3"/>
  <c r="Q78" i="3"/>
  <c r="Q77" i="3"/>
  <c r="Q76" i="3"/>
  <c r="Q75" i="3"/>
  <c r="Q74" i="3"/>
  <c r="Q73" i="3"/>
  <c r="Q72" i="3"/>
  <c r="Q71" i="3"/>
  <c r="Q70" i="3"/>
  <c r="Q69" i="3"/>
  <c r="Q68" i="3"/>
  <c r="Q67" i="3"/>
  <c r="Q66" i="3"/>
  <c r="Q65" i="3"/>
  <c r="Q64" i="3"/>
  <c r="Q63" i="3"/>
  <c r="Q62" i="3"/>
  <c r="Q61" i="3"/>
  <c r="Q60" i="3"/>
  <c r="Q59" i="3"/>
  <c r="Q58" i="3"/>
  <c r="Q57" i="3"/>
  <c r="Q56" i="3"/>
  <c r="Q55" i="3"/>
  <c r="Q54" i="3"/>
  <c r="Q53" i="3"/>
  <c r="Q52" i="3"/>
  <c r="Q51" i="3"/>
  <c r="Q50" i="3"/>
  <c r="Q49" i="3"/>
  <c r="Q48" i="3"/>
  <c r="Q47" i="3"/>
  <c r="Q46" i="3"/>
  <c r="Q45" i="3"/>
  <c r="Q44" i="3"/>
  <c r="Q43" i="3"/>
  <c r="Q42" i="3"/>
  <c r="Q41" i="3"/>
  <c r="Q40" i="3"/>
  <c r="Q39" i="3"/>
  <c r="Q38" i="3"/>
  <c r="Q37" i="3"/>
  <c r="Q36" i="3"/>
  <c r="Q35" i="3"/>
  <c r="Q34" i="3"/>
  <c r="Q33" i="3"/>
  <c r="Q32" i="3"/>
  <c r="Q31" i="3"/>
  <c r="Q30" i="3"/>
  <c r="Q29" i="3"/>
  <c r="Q28" i="3"/>
  <c r="Q27" i="3"/>
  <c r="Q26" i="3"/>
  <c r="Q25" i="3"/>
  <c r="Q24" i="3"/>
  <c r="Q23" i="3"/>
  <c r="Q22" i="3"/>
  <c r="Q21" i="3"/>
  <c r="Q20" i="3"/>
  <c r="Q19" i="3"/>
  <c r="Q18" i="3"/>
  <c r="Q17" i="3"/>
  <c r="Q16" i="3"/>
  <c r="Q15" i="3"/>
  <c r="Q14" i="3"/>
  <c r="Q13" i="3"/>
  <c r="Q12" i="3"/>
  <c r="Q11" i="3"/>
  <c r="Q10" i="3"/>
  <c r="Q9" i="3"/>
  <c r="C26" i="7" l="1"/>
  <c r="Y26" i="7" s="1"/>
  <c r="C3" i="7"/>
  <c r="E110" i="7"/>
  <c r="D110" i="7"/>
  <c r="C110" i="7"/>
  <c r="Y110" i="7" s="1"/>
  <c r="B110" i="7"/>
  <c r="E109" i="7"/>
  <c r="D109" i="7"/>
  <c r="C109" i="7"/>
  <c r="Y109" i="7" s="1"/>
  <c r="B109" i="7"/>
  <c r="E108" i="7"/>
  <c r="D108" i="7"/>
  <c r="C108" i="7"/>
  <c r="Y108" i="7" s="1"/>
  <c r="B108" i="7"/>
  <c r="E107" i="7"/>
  <c r="D107" i="7"/>
  <c r="C107" i="7"/>
  <c r="Y107" i="7" s="1"/>
  <c r="B107" i="7"/>
  <c r="E106" i="7"/>
  <c r="D106" i="7"/>
  <c r="C106" i="7"/>
  <c r="Y106" i="7" s="1"/>
  <c r="B106" i="7"/>
  <c r="E105" i="7"/>
  <c r="D105" i="7"/>
  <c r="C105" i="7"/>
  <c r="Y105" i="7" s="1"/>
  <c r="B105" i="7"/>
  <c r="E104" i="7"/>
  <c r="D104" i="7"/>
  <c r="C104" i="7"/>
  <c r="Y104" i="7" s="1"/>
  <c r="B104" i="7"/>
  <c r="E103" i="7"/>
  <c r="D103" i="7"/>
  <c r="C103" i="7"/>
  <c r="Y103" i="7" s="1"/>
  <c r="B103" i="7"/>
  <c r="E102" i="7"/>
  <c r="D102" i="7"/>
  <c r="C102" i="7"/>
  <c r="Y102" i="7" s="1"/>
  <c r="B102" i="7"/>
  <c r="E101" i="7"/>
  <c r="D101" i="7"/>
  <c r="C101" i="7"/>
  <c r="Y101" i="7" s="1"/>
  <c r="B101" i="7"/>
  <c r="E100" i="7"/>
  <c r="D100" i="7"/>
  <c r="C100" i="7"/>
  <c r="Y100" i="7" s="1"/>
  <c r="B100" i="7"/>
  <c r="E99" i="7"/>
  <c r="D99" i="7"/>
  <c r="C99" i="7"/>
  <c r="Y99" i="7" s="1"/>
  <c r="B99" i="7"/>
  <c r="E98" i="7"/>
  <c r="D98" i="7"/>
  <c r="C98" i="7"/>
  <c r="Y98" i="7" s="1"/>
  <c r="B98" i="7"/>
  <c r="E97" i="7"/>
  <c r="D97" i="7"/>
  <c r="C97" i="7"/>
  <c r="Y97" i="7" s="1"/>
  <c r="B97" i="7"/>
  <c r="E96" i="7"/>
  <c r="D96" i="7"/>
  <c r="C96" i="7"/>
  <c r="Y96" i="7" s="1"/>
  <c r="B96" i="7"/>
  <c r="E95" i="7"/>
  <c r="D95" i="7"/>
  <c r="C95" i="7"/>
  <c r="Y95" i="7" s="1"/>
  <c r="B95" i="7"/>
  <c r="E94" i="7"/>
  <c r="D94" i="7"/>
  <c r="C94" i="7"/>
  <c r="Y94" i="7" s="1"/>
  <c r="B94" i="7"/>
  <c r="E93" i="7"/>
  <c r="D93" i="7"/>
  <c r="C93" i="7"/>
  <c r="Y93" i="7" s="1"/>
  <c r="B93" i="7"/>
  <c r="E92" i="7"/>
  <c r="D92" i="7"/>
  <c r="C92" i="7"/>
  <c r="Y92" i="7" s="1"/>
  <c r="B92" i="7"/>
  <c r="E91" i="7"/>
  <c r="D91" i="7"/>
  <c r="C91" i="7"/>
  <c r="Y91" i="7" s="1"/>
  <c r="B91" i="7"/>
  <c r="E90" i="7"/>
  <c r="D90" i="7"/>
  <c r="C90" i="7"/>
  <c r="Y90" i="7" s="1"/>
  <c r="B90" i="7"/>
  <c r="E89" i="7"/>
  <c r="D89" i="7"/>
  <c r="C89" i="7"/>
  <c r="Y89" i="7" s="1"/>
  <c r="B89" i="7"/>
  <c r="E88" i="7"/>
  <c r="D88" i="7"/>
  <c r="C88" i="7"/>
  <c r="Y88" i="7" s="1"/>
  <c r="B88" i="7"/>
  <c r="E87" i="7"/>
  <c r="D87" i="7"/>
  <c r="C87" i="7"/>
  <c r="Y87" i="7" s="1"/>
  <c r="B87" i="7"/>
  <c r="E86" i="7"/>
  <c r="D86" i="7"/>
  <c r="C86" i="7"/>
  <c r="Y86" i="7" s="1"/>
  <c r="B86" i="7"/>
  <c r="E85" i="7"/>
  <c r="D85" i="7"/>
  <c r="C85" i="7"/>
  <c r="Y85" i="7" s="1"/>
  <c r="B85" i="7"/>
  <c r="E84" i="7"/>
  <c r="D84" i="7"/>
  <c r="C84" i="7"/>
  <c r="Y84" i="7" s="1"/>
  <c r="B84" i="7"/>
  <c r="E83" i="7"/>
  <c r="D83" i="7"/>
  <c r="C83" i="7"/>
  <c r="Y83" i="7" s="1"/>
  <c r="B83" i="7"/>
  <c r="E82" i="7"/>
  <c r="D82" i="7"/>
  <c r="C82" i="7"/>
  <c r="Y82" i="7" s="1"/>
  <c r="B82" i="7"/>
  <c r="E81" i="7"/>
  <c r="D81" i="7"/>
  <c r="C81" i="7"/>
  <c r="Y81" i="7" s="1"/>
  <c r="B81" i="7"/>
  <c r="E80" i="7"/>
  <c r="D80" i="7"/>
  <c r="C80" i="7"/>
  <c r="Y80" i="7" s="1"/>
  <c r="B80" i="7"/>
  <c r="E79" i="7"/>
  <c r="D79" i="7"/>
  <c r="C79" i="7"/>
  <c r="Y79" i="7" s="1"/>
  <c r="B79" i="7"/>
  <c r="E78" i="7"/>
  <c r="D78" i="7"/>
  <c r="C78" i="7"/>
  <c r="Y78" i="7" s="1"/>
  <c r="B78" i="7"/>
  <c r="E77" i="7"/>
  <c r="D77" i="7"/>
  <c r="C77" i="7"/>
  <c r="Y77" i="7" s="1"/>
  <c r="B77" i="7"/>
  <c r="E76" i="7"/>
  <c r="D76" i="7"/>
  <c r="C76" i="7"/>
  <c r="Y76" i="7" s="1"/>
  <c r="B76" i="7"/>
  <c r="E75" i="7"/>
  <c r="D75" i="7"/>
  <c r="C75" i="7"/>
  <c r="Y75" i="7" s="1"/>
  <c r="B75" i="7"/>
  <c r="E74" i="7"/>
  <c r="D74" i="7"/>
  <c r="C74" i="7"/>
  <c r="Y74" i="7" s="1"/>
  <c r="B74" i="7"/>
  <c r="E73" i="7"/>
  <c r="D73" i="7"/>
  <c r="C73" i="7"/>
  <c r="Y73" i="7" s="1"/>
  <c r="B73" i="7"/>
  <c r="E72" i="7"/>
  <c r="D72" i="7"/>
  <c r="C72" i="7"/>
  <c r="Y72" i="7" s="1"/>
  <c r="B72" i="7"/>
  <c r="E71" i="7"/>
  <c r="D71" i="7"/>
  <c r="C71" i="7"/>
  <c r="Y71" i="7" s="1"/>
  <c r="B71" i="7"/>
  <c r="E70" i="7"/>
  <c r="D70" i="7"/>
  <c r="C70" i="7"/>
  <c r="Y70" i="7" s="1"/>
  <c r="B70" i="7"/>
  <c r="E69" i="7"/>
  <c r="D69" i="7"/>
  <c r="C69" i="7"/>
  <c r="Y69" i="7" s="1"/>
  <c r="B69" i="7"/>
  <c r="E68" i="7"/>
  <c r="D68" i="7"/>
  <c r="C68" i="7"/>
  <c r="Y68" i="7" s="1"/>
  <c r="B68" i="7"/>
  <c r="E67" i="7"/>
  <c r="D67" i="7"/>
  <c r="C67" i="7"/>
  <c r="Y67" i="7" s="1"/>
  <c r="B67" i="7"/>
  <c r="E66" i="7"/>
  <c r="D66" i="7"/>
  <c r="C66" i="7"/>
  <c r="Y66" i="7" s="1"/>
  <c r="B66" i="7"/>
  <c r="E65" i="7"/>
  <c r="D65" i="7"/>
  <c r="C65" i="7"/>
  <c r="Y65" i="7" s="1"/>
  <c r="B65" i="7"/>
  <c r="E64" i="7"/>
  <c r="D64" i="7"/>
  <c r="C64" i="7"/>
  <c r="Y64" i="7" s="1"/>
  <c r="B64" i="7"/>
  <c r="E63" i="7"/>
  <c r="D63" i="7"/>
  <c r="C63" i="7"/>
  <c r="Y63" i="7" s="1"/>
  <c r="B63" i="7"/>
  <c r="E62" i="7"/>
  <c r="D62" i="7"/>
  <c r="C62" i="7"/>
  <c r="Y62" i="7" s="1"/>
  <c r="B62" i="7"/>
  <c r="E61" i="7"/>
  <c r="D61" i="7"/>
  <c r="C61" i="7"/>
  <c r="Y61" i="7" s="1"/>
  <c r="B61" i="7"/>
  <c r="E60" i="7"/>
  <c r="D60" i="7"/>
  <c r="C60" i="7"/>
  <c r="Y60" i="7" s="1"/>
  <c r="B60" i="7"/>
  <c r="E59" i="7"/>
  <c r="D59" i="7"/>
  <c r="C59" i="7"/>
  <c r="Y59" i="7" s="1"/>
  <c r="B59" i="7"/>
  <c r="E58" i="7"/>
  <c r="D58" i="7"/>
  <c r="C58" i="7"/>
  <c r="Y58" i="7" s="1"/>
  <c r="B58" i="7"/>
  <c r="E57" i="7"/>
  <c r="D57" i="7"/>
  <c r="C57" i="7"/>
  <c r="Y57" i="7" s="1"/>
  <c r="B57" i="7"/>
  <c r="E56" i="7"/>
  <c r="D56" i="7"/>
  <c r="C56" i="7"/>
  <c r="Y56" i="7" s="1"/>
  <c r="B56" i="7"/>
  <c r="E55" i="7"/>
  <c r="D55" i="7"/>
  <c r="C55" i="7"/>
  <c r="Y55" i="7" s="1"/>
  <c r="B55" i="7"/>
  <c r="E54" i="7"/>
  <c r="D54" i="7"/>
  <c r="C54" i="7"/>
  <c r="Y54" i="7" s="1"/>
  <c r="B54" i="7"/>
  <c r="E53" i="7"/>
  <c r="D53" i="7"/>
  <c r="C53" i="7"/>
  <c r="Y53" i="7" s="1"/>
  <c r="B53" i="7"/>
  <c r="E52" i="7"/>
  <c r="D52" i="7"/>
  <c r="C52" i="7"/>
  <c r="Y52" i="7" s="1"/>
  <c r="B52" i="7"/>
  <c r="E51" i="7"/>
  <c r="D51" i="7"/>
  <c r="C51" i="7"/>
  <c r="Y51" i="7" s="1"/>
  <c r="B51" i="7"/>
  <c r="E50" i="7"/>
  <c r="D50" i="7"/>
  <c r="C50" i="7"/>
  <c r="Y50" i="7" s="1"/>
  <c r="B50" i="7"/>
  <c r="E49" i="7"/>
  <c r="D49" i="7"/>
  <c r="C49" i="7"/>
  <c r="Y49" i="7" s="1"/>
  <c r="B49" i="7"/>
  <c r="E48" i="7"/>
  <c r="D48" i="7"/>
  <c r="C48" i="7"/>
  <c r="Y48" i="7" s="1"/>
  <c r="B48" i="7"/>
  <c r="E47" i="7"/>
  <c r="D47" i="7"/>
  <c r="C47" i="7"/>
  <c r="Y47" i="7" s="1"/>
  <c r="B47" i="7"/>
  <c r="E46" i="7"/>
  <c r="D46" i="7"/>
  <c r="C46" i="7"/>
  <c r="Y46" i="7" s="1"/>
  <c r="B46" i="7"/>
  <c r="E45" i="7"/>
  <c r="D45" i="7"/>
  <c r="C45" i="7"/>
  <c r="Y45" i="7" s="1"/>
  <c r="B45" i="7"/>
  <c r="E44" i="7"/>
  <c r="D44" i="7"/>
  <c r="C44" i="7"/>
  <c r="Y44" i="7" s="1"/>
  <c r="B44" i="7"/>
  <c r="E43" i="7"/>
  <c r="D43" i="7"/>
  <c r="C43" i="7"/>
  <c r="Y43" i="7" s="1"/>
  <c r="B43" i="7"/>
  <c r="E42" i="7"/>
  <c r="D42" i="7"/>
  <c r="C42" i="7"/>
  <c r="Y42" i="7" s="1"/>
  <c r="B42" i="7"/>
  <c r="E41" i="7"/>
  <c r="D41" i="7"/>
  <c r="C41" i="7"/>
  <c r="Y41" i="7" s="1"/>
  <c r="B41" i="7"/>
  <c r="E40" i="7"/>
  <c r="D40" i="7"/>
  <c r="C40" i="7"/>
  <c r="Y40" i="7" s="1"/>
  <c r="B40" i="7"/>
  <c r="E39" i="7"/>
  <c r="D39" i="7"/>
  <c r="C39" i="7"/>
  <c r="Y39" i="7" s="1"/>
  <c r="B39" i="7"/>
  <c r="E38" i="7"/>
  <c r="D38" i="7"/>
  <c r="C38" i="7"/>
  <c r="Y38" i="7" s="1"/>
  <c r="B38" i="7"/>
  <c r="E37" i="7"/>
  <c r="D37" i="7"/>
  <c r="C37" i="7"/>
  <c r="Y37" i="7" s="1"/>
  <c r="B37" i="7"/>
  <c r="E36" i="7"/>
  <c r="D36" i="7"/>
  <c r="C36" i="7"/>
  <c r="Y36" i="7" s="1"/>
  <c r="B36" i="7"/>
  <c r="E35" i="7"/>
  <c r="D35" i="7"/>
  <c r="C35" i="7"/>
  <c r="Y35" i="7" s="1"/>
  <c r="B35" i="7"/>
  <c r="E34" i="7"/>
  <c r="D34" i="7"/>
  <c r="C34" i="7"/>
  <c r="Y34" i="7" s="1"/>
  <c r="B34" i="7"/>
  <c r="E33" i="7"/>
  <c r="D33" i="7"/>
  <c r="C33" i="7"/>
  <c r="Y33" i="7" s="1"/>
  <c r="B33" i="7"/>
  <c r="E32" i="7"/>
  <c r="D32" i="7"/>
  <c r="C32" i="7"/>
  <c r="Y32" i="7" s="1"/>
  <c r="B32" i="7"/>
  <c r="E31" i="7"/>
  <c r="D31" i="7"/>
  <c r="C31" i="7"/>
  <c r="Y31" i="7" s="1"/>
  <c r="B31" i="7"/>
  <c r="E30" i="7"/>
  <c r="D30" i="7"/>
  <c r="C30" i="7"/>
  <c r="Y30" i="7" s="1"/>
  <c r="B30" i="7"/>
  <c r="E29" i="7"/>
  <c r="D29" i="7"/>
  <c r="C29" i="7"/>
  <c r="Y29" i="7" s="1"/>
  <c r="B29" i="7"/>
  <c r="E28" i="7"/>
  <c r="D28" i="7"/>
  <c r="C28" i="7"/>
  <c r="Y28" i="7" s="1"/>
  <c r="B28" i="7"/>
  <c r="E27" i="7"/>
  <c r="D27" i="7"/>
  <c r="C27" i="7"/>
  <c r="Y27" i="7" s="1"/>
  <c r="B27" i="7"/>
  <c r="E26" i="7"/>
  <c r="D26" i="7"/>
  <c r="B26" i="7"/>
  <c r="E25" i="7"/>
  <c r="D25" i="7"/>
  <c r="C25" i="7"/>
  <c r="Y25" i="7" s="1"/>
  <c r="B25" i="7"/>
  <c r="E24" i="7"/>
  <c r="D24" i="7"/>
  <c r="C24" i="7"/>
  <c r="Y24" i="7" s="1"/>
  <c r="B24" i="7"/>
  <c r="E23" i="7"/>
  <c r="D23" i="7"/>
  <c r="C23" i="7"/>
  <c r="Y23" i="7" s="1"/>
  <c r="B23" i="7"/>
  <c r="E22" i="7"/>
  <c r="D22" i="7"/>
  <c r="C22" i="7"/>
  <c r="Y22" i="7" s="1"/>
  <c r="B22" i="7"/>
  <c r="E21" i="7"/>
  <c r="D21" i="7"/>
  <c r="C21" i="7"/>
  <c r="Y21" i="7" s="1"/>
  <c r="B21" i="7"/>
  <c r="E20" i="7"/>
  <c r="D20" i="7"/>
  <c r="C20" i="7"/>
  <c r="Y20" i="7" s="1"/>
  <c r="B20" i="7"/>
  <c r="E19" i="7"/>
  <c r="D19" i="7"/>
  <c r="C19" i="7"/>
  <c r="Y19" i="7" s="1"/>
  <c r="B19" i="7"/>
  <c r="E18" i="7"/>
  <c r="D18" i="7"/>
  <c r="C18" i="7"/>
  <c r="Y18" i="7" s="1"/>
  <c r="B18" i="7"/>
  <c r="E17" i="7"/>
  <c r="D17" i="7"/>
  <c r="C17" i="7"/>
  <c r="Y17" i="7" s="1"/>
  <c r="B17" i="7"/>
  <c r="E16" i="7"/>
  <c r="D16" i="7"/>
  <c r="C16" i="7"/>
  <c r="Y16" i="7" s="1"/>
  <c r="B16" i="7"/>
  <c r="E15" i="7"/>
  <c r="D15" i="7"/>
  <c r="C15" i="7"/>
  <c r="Y15" i="7" s="1"/>
  <c r="B15" i="7"/>
  <c r="E14" i="7"/>
  <c r="D14" i="7"/>
  <c r="C14" i="7"/>
  <c r="Y14" i="7" s="1"/>
  <c r="B14" i="7"/>
  <c r="E13" i="7"/>
  <c r="D13" i="7"/>
  <c r="C13" i="7"/>
  <c r="Y13" i="7" s="1"/>
  <c r="B13" i="7"/>
  <c r="E12" i="7"/>
  <c r="D12" i="7"/>
  <c r="C12" i="7"/>
  <c r="Y12" i="7" s="1"/>
  <c r="B12" i="7"/>
  <c r="E11" i="7"/>
  <c r="D11" i="7"/>
  <c r="C11" i="7"/>
  <c r="Y11" i="7" s="1"/>
  <c r="B11" i="7"/>
  <c r="C8" i="7"/>
  <c r="C7" i="7"/>
  <c r="C6" i="7"/>
  <c r="C5" i="7"/>
  <c r="C4" i="7"/>
  <c r="K107" i="3"/>
  <c r="K104" i="3"/>
  <c r="K102" i="3"/>
  <c r="K101" i="3"/>
  <c r="K97" i="3"/>
  <c r="K96" i="3"/>
  <c r="K94" i="3"/>
  <c r="K93" i="3"/>
  <c r="K89" i="3"/>
  <c r="K88" i="3"/>
  <c r="K87" i="3"/>
  <c r="K86" i="3"/>
  <c r="K85" i="3"/>
  <c r="K82" i="3"/>
  <c r="K81" i="3"/>
  <c r="K80" i="3"/>
  <c r="K79" i="3"/>
  <c r="K78" i="3"/>
  <c r="K77" i="3"/>
  <c r="K73" i="3"/>
  <c r="K71" i="3"/>
  <c r="K70" i="3"/>
  <c r="K69" i="3"/>
  <c r="A70" i="7"/>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95" i="7" s="1"/>
  <c r="A96" i="7" s="1"/>
  <c r="A97" i="7" s="1"/>
  <c r="A98" i="7" s="1"/>
  <c r="A99" i="7" s="1"/>
  <c r="A100" i="7" s="1"/>
  <c r="A101" i="7" s="1"/>
  <c r="A102" i="7" s="1"/>
  <c r="A103" i="7" s="1"/>
  <c r="A104" i="7" s="1"/>
  <c r="A105" i="7" s="1"/>
  <c r="A106" i="7" s="1"/>
  <c r="A107" i="7" s="1"/>
  <c r="A108" i="7" s="1"/>
  <c r="A109" i="7" s="1"/>
  <c r="K67" i="3"/>
  <c r="K62" i="3"/>
  <c r="K61" i="3"/>
  <c r="K56" i="3"/>
  <c r="K55" i="3"/>
  <c r="K53" i="3"/>
  <c r="K49" i="3"/>
  <c r="K47" i="3"/>
  <c r="K45" i="3"/>
  <c r="K42" i="3"/>
  <c r="K40" i="3"/>
  <c r="K39" i="3"/>
  <c r="K37" i="3"/>
  <c r="K34" i="3"/>
  <c r="K32" i="3"/>
  <c r="K31" i="3"/>
  <c r="K30" i="3"/>
  <c r="K29" i="3"/>
  <c r="K25" i="3"/>
  <c r="K23" i="3"/>
  <c r="K22" i="3"/>
  <c r="Z9" i="7"/>
  <c r="Y9" i="7"/>
  <c r="X9" i="7"/>
  <c r="I4" i="7"/>
  <c r="F4" i="7"/>
  <c r="M11" i="2" l="1"/>
  <c r="I23" i="2" s="1"/>
  <c r="K52" i="3"/>
  <c r="K103" i="3"/>
  <c r="K108" i="3"/>
  <c r="K44" i="3"/>
  <c r="K48" i="3"/>
  <c r="K64" i="3"/>
  <c r="K26" i="3"/>
  <c r="K38" i="3"/>
  <c r="K21" i="3"/>
  <c r="K24" i="3"/>
  <c r="K36" i="3"/>
  <c r="K46" i="3"/>
  <c r="K54" i="3"/>
  <c r="K66" i="3"/>
  <c r="K50" i="3"/>
  <c r="K19" i="3"/>
  <c r="K95" i="3"/>
  <c r="K72" i="3"/>
  <c r="K63" i="3"/>
  <c r="K33" i="3"/>
  <c r="K41" i="3"/>
  <c r="K57" i="3"/>
  <c r="K65" i="3"/>
  <c r="K105" i="3"/>
  <c r="K18" i="3"/>
  <c r="K58" i="3"/>
  <c r="K74" i="3"/>
  <c r="K90" i="3"/>
  <c r="K98" i="3"/>
  <c r="K106" i="3"/>
  <c r="K27" i="3"/>
  <c r="K35" i="3"/>
  <c r="K43" i="3"/>
  <c r="K51" i="3"/>
  <c r="K59" i="3"/>
  <c r="K75" i="3"/>
  <c r="K83" i="3"/>
  <c r="K91" i="3"/>
  <c r="K99" i="3"/>
  <c r="K20" i="3"/>
  <c r="K28" i="3"/>
  <c r="K60" i="3"/>
  <c r="K68" i="3"/>
  <c r="K76" i="3"/>
  <c r="K84" i="3"/>
  <c r="K92" i="3"/>
  <c r="K100" i="3"/>
  <c r="K12" i="3"/>
  <c r="K14" i="3"/>
  <c r="K16" i="3"/>
  <c r="K13" i="3"/>
  <c r="K15" i="3"/>
  <c r="K17" i="3"/>
  <c r="K11" i="3"/>
  <c r="K9" i="3"/>
  <c r="K10" i="3"/>
  <c r="G10" i="2"/>
  <c r="G11" i="2"/>
  <c r="P7" i="7"/>
  <c r="M7" i="7"/>
  <c r="I11" i="2" l="1"/>
  <c r="I10" i="2"/>
  <c r="P91" i="3"/>
  <c r="P105" i="3"/>
  <c r="P86" i="3"/>
  <c r="P106" i="3"/>
  <c r="P101" i="3"/>
  <c r="P102" i="3"/>
  <c r="P98" i="3"/>
  <c r="P95" i="3"/>
  <c r="P80" i="3"/>
  <c r="P97" i="3"/>
  <c r="P77" i="3"/>
  <c r="P108" i="3"/>
  <c r="P93" i="3"/>
  <c r="P100" i="3"/>
  <c r="P94" i="3"/>
  <c r="P85" i="3"/>
  <c r="P104" i="3"/>
  <c r="P107" i="3"/>
  <c r="P89" i="3"/>
  <c r="P84" i="3"/>
  <c r="P96" i="3"/>
  <c r="P90" i="3"/>
  <c r="P79" i="3"/>
  <c r="P103" i="3"/>
  <c r="P82" i="3"/>
  <c r="P68" i="3"/>
  <c r="P92" i="3"/>
  <c r="P87" i="3"/>
  <c r="P83" i="3"/>
  <c r="P76" i="3"/>
  <c r="P99" i="3"/>
  <c r="P75" i="3"/>
  <c r="P88" i="3"/>
  <c r="P78" i="3"/>
  <c r="P81" i="3"/>
  <c r="P15" i="3" l="1"/>
  <c r="Q110" i="1" l="1"/>
  <c r="Q110" i="7" s="1"/>
  <c r="Q109" i="1"/>
  <c r="Q109" i="7" s="1"/>
  <c r="Q108" i="1"/>
  <c r="Q108" i="7" s="1"/>
  <c r="Q107" i="1"/>
  <c r="Q107" i="7" s="1"/>
  <c r="Q106" i="1"/>
  <c r="Q106" i="7" s="1"/>
  <c r="Q105" i="1"/>
  <c r="Q105" i="7" s="1"/>
  <c r="Q104" i="1"/>
  <c r="Q104" i="7" s="1"/>
  <c r="Q103" i="1"/>
  <c r="Q103" i="7" s="1"/>
  <c r="Q102" i="1"/>
  <c r="Q102" i="7" s="1"/>
  <c r="Q101" i="1"/>
  <c r="Q101" i="7" s="1"/>
  <c r="Q100" i="1"/>
  <c r="Q100" i="7" s="1"/>
  <c r="Q99" i="1"/>
  <c r="Q99" i="7" s="1"/>
  <c r="Q98" i="1"/>
  <c r="Q98" i="7" s="1"/>
  <c r="Q97" i="1"/>
  <c r="Q97" i="7" s="1"/>
  <c r="Q96" i="1"/>
  <c r="Q96" i="7" s="1"/>
  <c r="Q95" i="1"/>
  <c r="Q95" i="7" s="1"/>
  <c r="Q94" i="1"/>
  <c r="Q94" i="7" s="1"/>
  <c r="Q93" i="1"/>
  <c r="Q93" i="7" s="1"/>
  <c r="Q92" i="1"/>
  <c r="Q92" i="7" s="1"/>
  <c r="Q91" i="1"/>
  <c r="Q91" i="7" s="1"/>
  <c r="Q90" i="1"/>
  <c r="Q90" i="7" s="1"/>
  <c r="Q89" i="1"/>
  <c r="Q89" i="7" s="1"/>
  <c r="Q88" i="1"/>
  <c r="Q88" i="7" s="1"/>
  <c r="Q87" i="1"/>
  <c r="Q87" i="7" s="1"/>
  <c r="Q86" i="1"/>
  <c r="Q86" i="7" s="1"/>
  <c r="Q85" i="1"/>
  <c r="Q85" i="7" s="1"/>
  <c r="Q84" i="1"/>
  <c r="Q84" i="7" s="1"/>
  <c r="Q83" i="1"/>
  <c r="Q83" i="7" s="1"/>
  <c r="Q82" i="1"/>
  <c r="Q82" i="7" s="1"/>
  <c r="Q81" i="1"/>
  <c r="Q81" i="7" s="1"/>
  <c r="Q80" i="1"/>
  <c r="Q80" i="7" s="1"/>
  <c r="Q79" i="1"/>
  <c r="Q79" i="7" s="1"/>
  <c r="Q78" i="1"/>
  <c r="Q78" i="7" s="1"/>
  <c r="Q77" i="1"/>
  <c r="Q77" i="7" s="1"/>
  <c r="Q22" i="1"/>
  <c r="Q22" i="7" l="1"/>
  <c r="U22" i="1"/>
  <c r="U22" i="7" s="1"/>
  <c r="P20" i="3" s="1"/>
  <c r="Z9" i="1"/>
  <c r="Y9" i="1"/>
  <c r="X9" i="1"/>
  <c r="M7" i="1" l="1"/>
  <c r="P7" i="1"/>
  <c r="Q17" i="1"/>
  <c r="Q17" i="7" s="1"/>
  <c r="Q14" i="1"/>
  <c r="Q14" i="7" l="1"/>
  <c r="U14" i="1"/>
  <c r="U14" i="7" s="1"/>
  <c r="P12" i="3" s="1"/>
  <c r="M70" i="1"/>
  <c r="M46" i="1"/>
  <c r="M38" i="1"/>
  <c r="M30" i="1"/>
  <c r="M64" i="1"/>
  <c r="M56" i="1"/>
  <c r="M47" i="1"/>
  <c r="M61" i="1"/>
  <c r="M45" i="1"/>
  <c r="M37" i="1"/>
  <c r="M40" i="1"/>
  <c r="M31" i="1"/>
  <c r="M68" i="1"/>
  <c r="M60" i="1"/>
  <c r="M44" i="1"/>
  <c r="M36" i="1"/>
  <c r="M20" i="1"/>
  <c r="M39" i="1"/>
  <c r="M75" i="1"/>
  <c r="M67" i="1"/>
  <c r="M51" i="1"/>
  <c r="M35" i="1"/>
  <c r="M27" i="1"/>
  <c r="M19" i="1"/>
  <c r="M74" i="1"/>
  <c r="M66" i="1"/>
  <c r="M42" i="1"/>
  <c r="M57" i="1"/>
  <c r="M41" i="1"/>
  <c r="M33" i="1"/>
  <c r="M24" i="1"/>
  <c r="M63" i="1"/>
  <c r="M62" i="1"/>
  <c r="M54" i="1"/>
  <c r="M69" i="1"/>
  <c r="M53" i="1"/>
  <c r="M29" i="1"/>
  <c r="M21" i="1"/>
  <c r="M76" i="1"/>
  <c r="M52" i="1"/>
  <c r="M28" i="1"/>
  <c r="M72" i="1"/>
  <c r="M48" i="1"/>
  <c r="M59" i="1"/>
  <c r="M43" i="1"/>
  <c r="M55" i="1"/>
  <c r="M58" i="1"/>
  <c r="M50" i="1"/>
  <c r="M34" i="1"/>
  <c r="M26" i="1"/>
  <c r="M32" i="1"/>
  <c r="M71" i="1"/>
  <c r="M23" i="1"/>
  <c r="M73" i="1"/>
  <c r="M65" i="1"/>
  <c r="M49" i="1"/>
  <c r="M25" i="1"/>
  <c r="M15" i="1"/>
  <c r="M11" i="1"/>
  <c r="M13" i="1"/>
  <c r="M12" i="1"/>
  <c r="M18" i="1"/>
  <c r="M16" i="1"/>
  <c r="D14" i="2"/>
  <c r="D11" i="2"/>
  <c r="A22" i="2" s="1"/>
  <c r="A23" i="2" s="1"/>
  <c r="A24" i="2" s="1"/>
  <c r="Q62" i="1" l="1"/>
  <c r="Q62" i="7" s="1"/>
  <c r="M62" i="7"/>
  <c r="Q20" i="1"/>
  <c r="Q20" i="7" s="1"/>
  <c r="M20" i="7"/>
  <c r="Q70" i="1"/>
  <c r="Q70" i="7" s="1"/>
  <c r="M70" i="7"/>
  <c r="Q49" i="1"/>
  <c r="Q49" i="7" s="1"/>
  <c r="M49" i="7"/>
  <c r="Q50" i="1"/>
  <c r="Q50" i="7" s="1"/>
  <c r="M50" i="7"/>
  <c r="Q52" i="1"/>
  <c r="Q52" i="7" s="1"/>
  <c r="M52" i="7"/>
  <c r="Q63" i="1"/>
  <c r="Q63" i="7" s="1"/>
  <c r="M63" i="7"/>
  <c r="Q19" i="1"/>
  <c r="Q19" i="7" s="1"/>
  <c r="M19" i="7"/>
  <c r="Q36" i="1"/>
  <c r="Q36" i="7" s="1"/>
  <c r="M36" i="7"/>
  <c r="Q61" i="1"/>
  <c r="Q61" i="7" s="1"/>
  <c r="M61" i="7"/>
  <c r="Q28" i="1"/>
  <c r="Q28" i="7" s="1"/>
  <c r="M28" i="7"/>
  <c r="Q74" i="1"/>
  <c r="Q74" i="7" s="1"/>
  <c r="M74" i="7"/>
  <c r="Q45" i="1"/>
  <c r="Q45" i="7" s="1"/>
  <c r="M45" i="7"/>
  <c r="Q16" i="1"/>
  <c r="Q16" i="7" s="1"/>
  <c r="M16" i="7"/>
  <c r="Q65" i="1"/>
  <c r="Q65" i="7" s="1"/>
  <c r="M65" i="7"/>
  <c r="Q58" i="1"/>
  <c r="Q58" i="7" s="1"/>
  <c r="M58" i="7"/>
  <c r="Q76" i="1"/>
  <c r="Q76" i="7" s="1"/>
  <c r="M76" i="7"/>
  <c r="Q24" i="1"/>
  <c r="M24" i="7"/>
  <c r="Q27" i="1"/>
  <c r="Q27" i="7" s="1"/>
  <c r="M27" i="7"/>
  <c r="Q44" i="1"/>
  <c r="Q44" i="7" s="1"/>
  <c r="M44" i="7"/>
  <c r="Q47" i="1"/>
  <c r="Q47" i="7" s="1"/>
  <c r="M47" i="7"/>
  <c r="Q25" i="1"/>
  <c r="Q25" i="7" s="1"/>
  <c r="M25" i="7"/>
  <c r="Q18" i="1"/>
  <c r="Q18" i="7" s="1"/>
  <c r="M18" i="7"/>
  <c r="Q55" i="1"/>
  <c r="Q55" i="7" s="1"/>
  <c r="M55" i="7"/>
  <c r="Q35" i="1"/>
  <c r="M35" i="7"/>
  <c r="Q56" i="1"/>
  <c r="Q56" i="7" s="1"/>
  <c r="M56" i="7"/>
  <c r="Q12" i="1"/>
  <c r="Q12" i="7" s="1"/>
  <c r="M12" i="7"/>
  <c r="Q43" i="1"/>
  <c r="Q43" i="7" s="1"/>
  <c r="M43" i="7"/>
  <c r="Q41" i="1"/>
  <c r="Q41" i="7" s="1"/>
  <c r="M41" i="7"/>
  <c r="Q68" i="1"/>
  <c r="Q68" i="7" s="1"/>
  <c r="M68" i="7"/>
  <c r="Q13" i="1"/>
  <c r="Q13" i="7" s="1"/>
  <c r="M13" i="7"/>
  <c r="Q59" i="1"/>
  <c r="Q59" i="7" s="1"/>
  <c r="M59" i="7"/>
  <c r="Q57" i="1"/>
  <c r="Q57" i="7" s="1"/>
  <c r="M57" i="7"/>
  <c r="Q30" i="1"/>
  <c r="M30" i="7"/>
  <c r="Q11" i="1"/>
  <c r="Q11" i="7" s="1"/>
  <c r="M11" i="7"/>
  <c r="Q32" i="1"/>
  <c r="Q32" i="7" s="1"/>
  <c r="M32" i="7"/>
  <c r="Q48" i="1"/>
  <c r="Q48" i="7" s="1"/>
  <c r="M48" i="7"/>
  <c r="Q69" i="1"/>
  <c r="Q69" i="7" s="1"/>
  <c r="M69" i="7"/>
  <c r="Q42" i="1"/>
  <c r="Q42" i="7" s="1"/>
  <c r="M42" i="7"/>
  <c r="Q75" i="1"/>
  <c r="Q75" i="7" s="1"/>
  <c r="M75" i="7"/>
  <c r="Q40" i="1"/>
  <c r="Q40" i="7" s="1"/>
  <c r="M40" i="7"/>
  <c r="Q38" i="1"/>
  <c r="Q38" i="7" s="1"/>
  <c r="M38" i="7"/>
  <c r="Q34" i="1"/>
  <c r="Q34" i="7" s="1"/>
  <c r="M34" i="7"/>
  <c r="Q73" i="1"/>
  <c r="Q73" i="7" s="1"/>
  <c r="M73" i="7"/>
  <c r="Q21" i="1"/>
  <c r="Q21" i="7" s="1"/>
  <c r="M21" i="7"/>
  <c r="Q33" i="1"/>
  <c r="Q33" i="7" s="1"/>
  <c r="M33" i="7"/>
  <c r="Q60" i="1"/>
  <c r="Q60" i="7" s="1"/>
  <c r="M60" i="7"/>
  <c r="Q23" i="1"/>
  <c r="Q23" i="7" s="1"/>
  <c r="M23" i="7"/>
  <c r="Q29" i="1"/>
  <c r="Q29" i="7" s="1"/>
  <c r="M29" i="7"/>
  <c r="Q51" i="1"/>
  <c r="Q51" i="7" s="1"/>
  <c r="M51" i="7"/>
  <c r="Q64" i="1"/>
  <c r="Q64" i="7" s="1"/>
  <c r="M64" i="7"/>
  <c r="Q71" i="1"/>
  <c r="Q71" i="7" s="1"/>
  <c r="M71" i="7"/>
  <c r="Q53" i="1"/>
  <c r="Q53" i="7" s="1"/>
  <c r="M53" i="7"/>
  <c r="Q67" i="1"/>
  <c r="Q67" i="7" s="1"/>
  <c r="M67" i="7"/>
  <c r="Q31" i="1"/>
  <c r="Q31" i="7" s="1"/>
  <c r="M31" i="7"/>
  <c r="Q15" i="1"/>
  <c r="Q15" i="7" s="1"/>
  <c r="M15" i="7"/>
  <c r="Q26" i="1"/>
  <c r="Q26" i="7" s="1"/>
  <c r="M26" i="7"/>
  <c r="Q72" i="1"/>
  <c r="Q72" i="7" s="1"/>
  <c r="M72" i="7"/>
  <c r="Q54" i="1"/>
  <c r="Q54" i="7" s="1"/>
  <c r="M54" i="7"/>
  <c r="Q66" i="1"/>
  <c r="Q66" i="7" s="1"/>
  <c r="M66" i="7"/>
  <c r="Q39" i="1"/>
  <c r="Q39" i="7" s="1"/>
  <c r="M39" i="7"/>
  <c r="Q37" i="1"/>
  <c r="Q37" i="7" s="1"/>
  <c r="M37" i="7"/>
  <c r="Q46" i="1"/>
  <c r="Q46" i="7" s="1"/>
  <c r="M46" i="7"/>
  <c r="U63" i="1"/>
  <c r="U63" i="7" s="1"/>
  <c r="P61" i="3" s="1"/>
  <c r="U16" i="1"/>
  <c r="U16" i="7" s="1"/>
  <c r="P14" i="3" s="1"/>
  <c r="U33" i="1"/>
  <c r="U33" i="7" s="1"/>
  <c r="P31" i="3" s="1"/>
  <c r="U56" i="1"/>
  <c r="U56" i="7" s="1"/>
  <c r="P54" i="3" s="1"/>
  <c r="U43" i="1"/>
  <c r="U43" i="7" s="1"/>
  <c r="P41" i="3" s="1"/>
  <c r="U29" i="1"/>
  <c r="U29" i="7" s="1"/>
  <c r="P27" i="3" s="1"/>
  <c r="U51" i="1"/>
  <c r="U51" i="7" s="1"/>
  <c r="P49" i="3" s="1"/>
  <c r="U64" i="1"/>
  <c r="U64" i="7" s="1"/>
  <c r="P62" i="3" s="1"/>
  <c r="U52" i="1"/>
  <c r="U52" i="7" s="1"/>
  <c r="P50" i="3" s="1"/>
  <c r="U61" i="1"/>
  <c r="U61" i="7" s="1"/>
  <c r="P59" i="3" s="1"/>
  <c r="U76" i="1"/>
  <c r="U76" i="7" s="1"/>
  <c r="P74" i="3" s="1"/>
  <c r="U59" i="1"/>
  <c r="U59" i="7" s="1"/>
  <c r="P57" i="3" s="1"/>
  <c r="U11" i="1"/>
  <c r="U11" i="7" s="1"/>
  <c r="P9" i="3" s="1"/>
  <c r="U69" i="1"/>
  <c r="U69" i="7" s="1"/>
  <c r="P67" i="3" s="1"/>
  <c r="U42" i="1"/>
  <c r="U42" i="7" s="1"/>
  <c r="P40" i="3" s="1"/>
  <c r="U50" i="1"/>
  <c r="U50" i="7" s="1"/>
  <c r="P48" i="3" s="1"/>
  <c r="U65" i="1"/>
  <c r="U65" i="7" s="1"/>
  <c r="P63" i="3" s="1"/>
  <c r="U44" i="1"/>
  <c r="U44" i="7" s="1"/>
  <c r="P42" i="3" s="1"/>
  <c r="U55" i="1"/>
  <c r="U55" i="7" s="1"/>
  <c r="P53" i="3" s="1"/>
  <c r="U57" i="1"/>
  <c r="U57" i="7" s="1"/>
  <c r="P55" i="3" s="1"/>
  <c r="U72" i="1"/>
  <c r="U72" i="7" s="1"/>
  <c r="P70" i="3" s="1"/>
  <c r="U54" i="1"/>
  <c r="U54" i="7" s="1"/>
  <c r="P52" i="3" s="1"/>
  <c r="U66" i="1"/>
  <c r="U66" i="7" s="1"/>
  <c r="P64" i="3" s="1"/>
  <c r="U49" i="1"/>
  <c r="U49" i="7" s="1"/>
  <c r="P47" i="3" s="1"/>
  <c r="U36" i="1"/>
  <c r="U36" i="7" s="1"/>
  <c r="P34" i="3" s="1"/>
  <c r="U58" i="1"/>
  <c r="U58" i="7" s="1"/>
  <c r="P56" i="3" s="1"/>
  <c r="U47" i="1"/>
  <c r="U47" i="7" s="1"/>
  <c r="P45" i="3" s="1"/>
  <c r="U21" i="1"/>
  <c r="U21" i="7" s="1"/>
  <c r="P19" i="3" s="1"/>
  <c r="U53" i="1"/>
  <c r="U53" i="7" s="1"/>
  <c r="P51" i="3" s="1"/>
  <c r="U28" i="1"/>
  <c r="U28" i="7" s="1"/>
  <c r="P26" i="3" s="1"/>
  <c r="U62" i="1"/>
  <c r="U62" i="7" s="1"/>
  <c r="P60" i="3" s="1"/>
  <c r="U74" i="1"/>
  <c r="U74" i="7" s="1"/>
  <c r="P72" i="3" s="1"/>
  <c r="U20" i="1"/>
  <c r="U20" i="7" s="1"/>
  <c r="P18" i="3" s="1"/>
  <c r="C4" i="2"/>
  <c r="C5" i="2"/>
  <c r="F9" i="2"/>
  <c r="F8" i="2"/>
  <c r="D8" i="2"/>
  <c r="C5" i="3"/>
  <c r="U23" i="1" l="1"/>
  <c r="U23" i="7" s="1"/>
  <c r="P21" i="3" s="1"/>
  <c r="U12" i="1"/>
  <c r="U12" i="7" s="1"/>
  <c r="P10" i="3" s="1"/>
  <c r="U40" i="1"/>
  <c r="U40" i="7" s="1"/>
  <c r="P38" i="3" s="1"/>
  <c r="U27" i="1"/>
  <c r="U27" i="7" s="1"/>
  <c r="P25" i="3" s="1"/>
  <c r="U37" i="1"/>
  <c r="U37" i="7" s="1"/>
  <c r="P35" i="3" s="1"/>
  <c r="Q35" i="7"/>
  <c r="U35" i="1"/>
  <c r="U35" i="7" s="1"/>
  <c r="P33" i="3" s="1"/>
  <c r="U34" i="1"/>
  <c r="U34" i="7" s="1"/>
  <c r="P32" i="3" s="1"/>
  <c r="U32" i="1"/>
  <c r="U32" i="7" s="1"/>
  <c r="P30" i="3" s="1"/>
  <c r="Q30" i="7"/>
  <c r="U30" i="1"/>
  <c r="U30" i="7" s="1"/>
  <c r="P28" i="3" s="1"/>
  <c r="U26" i="1"/>
  <c r="U26" i="7" s="1"/>
  <c r="P24" i="3" s="1"/>
  <c r="Q24" i="7"/>
  <c r="U24" i="1"/>
  <c r="U24" i="7" s="1"/>
  <c r="P22" i="3" s="1"/>
  <c r="U19" i="1"/>
  <c r="U19" i="7" s="1"/>
  <c r="P17" i="3" s="1"/>
  <c r="U15" i="1"/>
  <c r="U15" i="7" s="1"/>
  <c r="P13" i="3" s="1"/>
  <c r="U48" i="1"/>
  <c r="U48" i="7" s="1"/>
  <c r="P46" i="3" s="1"/>
  <c r="L11" i="2"/>
  <c r="H23" i="2" s="1"/>
  <c r="U25" i="1"/>
  <c r="U25" i="7" s="1"/>
  <c r="P23" i="3" s="1"/>
  <c r="U46" i="1"/>
  <c r="U46" i="7" s="1"/>
  <c r="P44" i="3" s="1"/>
  <c r="U31" i="1"/>
  <c r="U31" i="7" s="1"/>
  <c r="P29" i="3" s="1"/>
  <c r="U38" i="1"/>
  <c r="U38" i="7" s="1"/>
  <c r="P36" i="3" s="1"/>
  <c r="U67" i="1"/>
  <c r="U67" i="7" s="1"/>
  <c r="P65" i="3" s="1"/>
  <c r="U68" i="1"/>
  <c r="U68" i="7" s="1"/>
  <c r="P66" i="3" s="1"/>
  <c r="U60" i="1"/>
  <c r="U60" i="7" s="1"/>
  <c r="P58" i="3" s="1"/>
  <c r="U45" i="1"/>
  <c r="U45" i="7" s="1"/>
  <c r="P43" i="3" s="1"/>
  <c r="U71" i="1"/>
  <c r="U71" i="7" s="1"/>
  <c r="P69" i="3" s="1"/>
  <c r="U39" i="1"/>
  <c r="U39" i="7" s="1"/>
  <c r="P37" i="3" s="1"/>
  <c r="U13" i="1"/>
  <c r="U13" i="7" s="1"/>
  <c r="P11" i="3" s="1"/>
  <c r="U75" i="1"/>
  <c r="U75" i="7" s="1"/>
  <c r="P73" i="3" s="1"/>
  <c r="U73" i="1"/>
  <c r="U73" i="7" s="1"/>
  <c r="P71" i="3" s="1"/>
  <c r="U41" i="1"/>
  <c r="U41" i="7" s="1"/>
  <c r="P39" i="3" s="1"/>
  <c r="U18" i="1"/>
  <c r="U18" i="7" s="1"/>
  <c r="P16" i="3" s="1"/>
  <c r="F14" i="2"/>
  <c r="E22" i="2"/>
  <c r="I14" i="2"/>
  <c r="E23" i="2"/>
  <c r="C22" i="2"/>
  <c r="G14" i="2"/>
  <c r="C23" i="2"/>
  <c r="P110" i="1"/>
  <c r="P110" i="7" s="1"/>
  <c r="P109" i="1"/>
  <c r="P109" i="7" s="1"/>
  <c r="P108" i="1"/>
  <c r="P108" i="7" s="1"/>
  <c r="P107" i="1"/>
  <c r="P107" i="7" s="1"/>
  <c r="P106" i="1"/>
  <c r="P106" i="7" s="1"/>
  <c r="P105" i="1"/>
  <c r="P105" i="7" s="1"/>
  <c r="P104" i="1"/>
  <c r="P104" i="7" s="1"/>
  <c r="P103" i="1"/>
  <c r="P103" i="7" s="1"/>
  <c r="P102" i="1"/>
  <c r="P102" i="7" s="1"/>
  <c r="P101" i="1"/>
  <c r="P101" i="7" s="1"/>
  <c r="P100" i="1"/>
  <c r="P100" i="7" s="1"/>
  <c r="P99" i="1"/>
  <c r="P99" i="7" s="1"/>
  <c r="P98" i="1"/>
  <c r="P98" i="7" s="1"/>
  <c r="P97" i="1"/>
  <c r="P97" i="7" s="1"/>
  <c r="P96" i="1"/>
  <c r="P96" i="7" s="1"/>
  <c r="P95" i="1"/>
  <c r="P95" i="7" s="1"/>
  <c r="P94" i="1"/>
  <c r="P94" i="7" s="1"/>
  <c r="P93" i="1"/>
  <c r="P93" i="7" s="1"/>
  <c r="P92" i="1"/>
  <c r="P92" i="7" s="1"/>
  <c r="P91" i="1"/>
  <c r="P91" i="7" s="1"/>
  <c r="P90" i="1"/>
  <c r="P90" i="7" s="1"/>
  <c r="P89" i="1"/>
  <c r="P89" i="7" s="1"/>
  <c r="P88" i="1"/>
  <c r="P88" i="7" s="1"/>
  <c r="P87" i="1"/>
  <c r="P87" i="7" s="1"/>
  <c r="P86" i="1"/>
  <c r="P86" i="7" s="1"/>
  <c r="P85" i="1"/>
  <c r="P85" i="7" s="1"/>
  <c r="P84" i="1"/>
  <c r="P84" i="7" s="1"/>
  <c r="P83" i="1"/>
  <c r="P83" i="7" s="1"/>
  <c r="P82" i="1"/>
  <c r="P82" i="7" s="1"/>
  <c r="P81" i="1"/>
  <c r="P81" i="7" s="1"/>
  <c r="P80" i="1"/>
  <c r="P80" i="7" s="1"/>
  <c r="P79" i="1"/>
  <c r="P79" i="7" s="1"/>
  <c r="P78" i="1"/>
  <c r="P78" i="7" s="1"/>
  <c r="P77" i="1"/>
  <c r="P77" i="7" s="1"/>
  <c r="P76" i="1"/>
  <c r="P76" i="7" s="1"/>
  <c r="P75" i="1"/>
  <c r="P75" i="7" s="1"/>
  <c r="P74" i="1"/>
  <c r="P74" i="7" s="1"/>
  <c r="P73" i="1"/>
  <c r="P73" i="7" s="1"/>
  <c r="P72" i="1"/>
  <c r="P72" i="7" s="1"/>
  <c r="P71" i="1"/>
  <c r="P71" i="7" s="1"/>
  <c r="P70" i="1"/>
  <c r="P70" i="7" s="1"/>
  <c r="P69" i="1"/>
  <c r="P69" i="7" s="1"/>
  <c r="P68" i="1"/>
  <c r="P68" i="7" s="1"/>
  <c r="P67" i="1"/>
  <c r="P67" i="7" s="1"/>
  <c r="P66" i="1"/>
  <c r="P66" i="7" s="1"/>
  <c r="P65" i="1"/>
  <c r="P65" i="7" s="1"/>
  <c r="P64" i="1"/>
  <c r="P64" i="7" s="1"/>
  <c r="P63" i="1"/>
  <c r="P63" i="7" s="1"/>
  <c r="P62" i="1"/>
  <c r="P62" i="7" s="1"/>
  <c r="P61" i="1"/>
  <c r="P61" i="7" s="1"/>
  <c r="P60" i="1"/>
  <c r="P60" i="7" s="1"/>
  <c r="P59" i="1"/>
  <c r="P59" i="7" s="1"/>
  <c r="P58" i="1"/>
  <c r="P58" i="7" s="1"/>
  <c r="P57" i="1"/>
  <c r="P57" i="7" s="1"/>
  <c r="P56" i="1"/>
  <c r="P56" i="7" s="1"/>
  <c r="P55" i="1"/>
  <c r="P55" i="7" s="1"/>
  <c r="P54" i="1"/>
  <c r="P54" i="7" s="1"/>
  <c r="P53" i="1"/>
  <c r="P53" i="7" s="1"/>
  <c r="P52" i="1"/>
  <c r="P52" i="7" s="1"/>
  <c r="P51" i="1"/>
  <c r="P51" i="7" s="1"/>
  <c r="P50" i="1"/>
  <c r="P50" i="7" s="1"/>
  <c r="P49" i="1"/>
  <c r="P49" i="7" s="1"/>
  <c r="P48" i="1"/>
  <c r="P48" i="7" s="1"/>
  <c r="P47" i="1"/>
  <c r="P47" i="7" s="1"/>
  <c r="P46" i="1"/>
  <c r="P46" i="7" s="1"/>
  <c r="P45" i="1"/>
  <c r="P45" i="7" s="1"/>
  <c r="P44" i="1"/>
  <c r="P44" i="7" s="1"/>
  <c r="P43" i="1"/>
  <c r="P43" i="7" s="1"/>
  <c r="P42" i="1"/>
  <c r="P42" i="7" s="1"/>
  <c r="P41" i="1"/>
  <c r="P41" i="7" s="1"/>
  <c r="P40" i="1"/>
  <c r="P40" i="7" s="1"/>
  <c r="P39" i="1"/>
  <c r="P39" i="7" s="1"/>
  <c r="P38" i="1"/>
  <c r="P38" i="7" s="1"/>
  <c r="P37" i="1"/>
  <c r="P37" i="7" s="1"/>
  <c r="P36" i="1"/>
  <c r="P36" i="7" s="1"/>
  <c r="P35" i="1"/>
  <c r="P35" i="7" s="1"/>
  <c r="P34" i="1"/>
  <c r="P34" i="7" s="1"/>
  <c r="P33" i="1"/>
  <c r="P33" i="7" s="1"/>
  <c r="P32" i="1"/>
  <c r="P32" i="7" s="1"/>
  <c r="P31" i="1"/>
  <c r="P31" i="7" s="1"/>
  <c r="P30" i="1"/>
  <c r="P30" i="7" s="1"/>
  <c r="P29" i="1"/>
  <c r="P29" i="7" s="1"/>
  <c r="P28" i="1"/>
  <c r="P28" i="7" s="1"/>
  <c r="P27" i="1"/>
  <c r="P27" i="7" s="1"/>
  <c r="P26" i="1"/>
  <c r="P26" i="7" s="1"/>
  <c r="P25" i="1"/>
  <c r="P25" i="7" s="1"/>
  <c r="P24" i="1"/>
  <c r="P24" i="7" s="1"/>
  <c r="P23" i="1"/>
  <c r="P23" i="7" s="1"/>
  <c r="P22" i="1"/>
  <c r="P22" i="7" s="1"/>
  <c r="P21" i="1"/>
  <c r="P21" i="7" s="1"/>
  <c r="P20" i="1"/>
  <c r="P20" i="7" s="1"/>
  <c r="P19" i="1"/>
  <c r="P19" i="7" s="1"/>
  <c r="P18" i="1"/>
  <c r="P18" i="7" s="1"/>
  <c r="P17" i="1"/>
  <c r="P17" i="7" s="1"/>
  <c r="P16" i="1"/>
  <c r="P16" i="7" s="1"/>
  <c r="P15" i="1"/>
  <c r="P15" i="7" s="1"/>
  <c r="P14" i="1"/>
  <c r="P14" i="7" s="1"/>
  <c r="P13" i="1"/>
  <c r="P13" i="7" s="1"/>
  <c r="P12" i="1"/>
  <c r="P12" i="7" s="1"/>
  <c r="P11" i="1"/>
  <c r="P11" i="2" l="1"/>
  <c r="L23" i="2" s="1"/>
  <c r="Q10" i="2"/>
  <c r="M22" i="2" s="1"/>
  <c r="P10" i="2"/>
  <c r="L22" i="2" s="1"/>
  <c r="Q11" i="2"/>
  <c r="M23" i="2" s="1"/>
  <c r="P11" i="7"/>
  <c r="C24" i="2"/>
  <c r="E24" i="2"/>
  <c r="F4" i="1"/>
  <c r="I4" i="1"/>
  <c r="Q14" i="2" l="1"/>
  <c r="M24" i="2" s="1"/>
  <c r="N11" i="2"/>
  <c r="E10" i="3"/>
  <c r="P14" i="2"/>
  <c r="L24" i="2" s="1"/>
  <c r="G9" i="2"/>
  <c r="A9" i="2"/>
  <c r="B10" i="3"/>
  <c r="A68" i="3"/>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D107" i="3"/>
  <c r="C107" i="3"/>
  <c r="O107" i="3" s="1"/>
  <c r="B107" i="3"/>
  <c r="D106" i="3"/>
  <c r="C106" i="3"/>
  <c r="O106" i="3" s="1"/>
  <c r="B106" i="3"/>
  <c r="D105" i="3"/>
  <c r="C105" i="3"/>
  <c r="O105" i="3" s="1"/>
  <c r="B105" i="3"/>
  <c r="D104" i="3"/>
  <c r="C104" i="3"/>
  <c r="O104" i="3" s="1"/>
  <c r="B104" i="3"/>
  <c r="D103" i="3"/>
  <c r="C103" i="3"/>
  <c r="O103" i="3" s="1"/>
  <c r="B103" i="3"/>
  <c r="D102" i="3"/>
  <c r="C102" i="3"/>
  <c r="O102" i="3" s="1"/>
  <c r="B102" i="3"/>
  <c r="D101" i="3"/>
  <c r="C101" i="3"/>
  <c r="O101" i="3" s="1"/>
  <c r="B101" i="3"/>
  <c r="D100" i="3"/>
  <c r="C100" i="3"/>
  <c r="O100" i="3" s="1"/>
  <c r="B100" i="3"/>
  <c r="D99" i="3"/>
  <c r="C99" i="3"/>
  <c r="O99" i="3" s="1"/>
  <c r="B99" i="3"/>
  <c r="D98" i="3"/>
  <c r="C98" i="3"/>
  <c r="O98" i="3" s="1"/>
  <c r="B98" i="3"/>
  <c r="D97" i="3"/>
  <c r="C97" i="3"/>
  <c r="O97" i="3" s="1"/>
  <c r="B97" i="3"/>
  <c r="D96" i="3"/>
  <c r="C96" i="3"/>
  <c r="O96" i="3" s="1"/>
  <c r="B96" i="3"/>
  <c r="D95" i="3"/>
  <c r="C95" i="3"/>
  <c r="O95" i="3" s="1"/>
  <c r="B95" i="3"/>
  <c r="D94" i="3"/>
  <c r="C94" i="3"/>
  <c r="O94" i="3" s="1"/>
  <c r="B94" i="3"/>
  <c r="D93" i="3"/>
  <c r="C93" i="3"/>
  <c r="O93" i="3" s="1"/>
  <c r="B93" i="3"/>
  <c r="D92" i="3"/>
  <c r="C92" i="3"/>
  <c r="O92" i="3" s="1"/>
  <c r="B92" i="3"/>
  <c r="D91" i="3"/>
  <c r="C91" i="3"/>
  <c r="O91" i="3" s="1"/>
  <c r="B91" i="3"/>
  <c r="D90" i="3"/>
  <c r="C90" i="3"/>
  <c r="O90" i="3" s="1"/>
  <c r="B90" i="3"/>
  <c r="D89" i="3"/>
  <c r="C89" i="3"/>
  <c r="O89" i="3" s="1"/>
  <c r="B89" i="3"/>
  <c r="D88" i="3"/>
  <c r="C88" i="3"/>
  <c r="O88" i="3" s="1"/>
  <c r="B88" i="3"/>
  <c r="D87" i="3"/>
  <c r="C87" i="3"/>
  <c r="O87" i="3" s="1"/>
  <c r="B87" i="3"/>
  <c r="D86" i="3"/>
  <c r="C86" i="3"/>
  <c r="O86" i="3" s="1"/>
  <c r="B86" i="3"/>
  <c r="D85" i="3"/>
  <c r="C85" i="3"/>
  <c r="O85" i="3" s="1"/>
  <c r="B85" i="3"/>
  <c r="D84" i="3"/>
  <c r="C84" i="3"/>
  <c r="O84" i="3" s="1"/>
  <c r="B84" i="3"/>
  <c r="D83" i="3"/>
  <c r="C83" i="3"/>
  <c r="O83" i="3" s="1"/>
  <c r="B83" i="3"/>
  <c r="D82" i="3"/>
  <c r="C82" i="3"/>
  <c r="O82" i="3" s="1"/>
  <c r="B82" i="3"/>
  <c r="D81" i="3"/>
  <c r="C81" i="3"/>
  <c r="O81" i="3" s="1"/>
  <c r="B81" i="3"/>
  <c r="D80" i="3"/>
  <c r="C80" i="3"/>
  <c r="O80" i="3" s="1"/>
  <c r="B80" i="3"/>
  <c r="D79" i="3"/>
  <c r="C79" i="3"/>
  <c r="O79" i="3" s="1"/>
  <c r="B79" i="3"/>
  <c r="D78" i="3"/>
  <c r="C78" i="3"/>
  <c r="O78" i="3" s="1"/>
  <c r="B78" i="3"/>
  <c r="D77" i="3"/>
  <c r="C77" i="3"/>
  <c r="O77" i="3" s="1"/>
  <c r="B77" i="3"/>
  <c r="D76" i="3"/>
  <c r="C76" i="3"/>
  <c r="O76" i="3" s="1"/>
  <c r="B76" i="3"/>
  <c r="D75" i="3"/>
  <c r="C75" i="3"/>
  <c r="O75" i="3" s="1"/>
  <c r="B75" i="3"/>
  <c r="D74" i="3"/>
  <c r="C74" i="3"/>
  <c r="O74" i="3" s="1"/>
  <c r="B74" i="3"/>
  <c r="D73" i="3"/>
  <c r="C73" i="3"/>
  <c r="O73" i="3" s="1"/>
  <c r="B73" i="3"/>
  <c r="D72" i="3"/>
  <c r="C72" i="3"/>
  <c r="O72" i="3" s="1"/>
  <c r="B72" i="3"/>
  <c r="D71" i="3"/>
  <c r="C71" i="3"/>
  <c r="O71" i="3" s="1"/>
  <c r="B71" i="3"/>
  <c r="D70" i="3"/>
  <c r="C70" i="3"/>
  <c r="O70" i="3" s="1"/>
  <c r="B70" i="3"/>
  <c r="D69" i="3"/>
  <c r="C69" i="3"/>
  <c r="O69" i="3" s="1"/>
  <c r="B69" i="3"/>
  <c r="D68" i="3"/>
  <c r="C68" i="3"/>
  <c r="O68" i="3" s="1"/>
  <c r="B68" i="3"/>
  <c r="A70" i="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B10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1" i="3"/>
  <c r="B9" i="3"/>
  <c r="J23" i="2" l="1"/>
  <c r="I77" i="3"/>
  <c r="I89" i="3"/>
  <c r="L87" i="3"/>
  <c r="N87" i="3"/>
  <c r="M87" i="3"/>
  <c r="L77" i="3"/>
  <c r="N77" i="3"/>
  <c r="M77" i="3"/>
  <c r="L93" i="3"/>
  <c r="N93" i="3"/>
  <c r="M93" i="3"/>
  <c r="N72" i="3"/>
  <c r="L72" i="3"/>
  <c r="M72" i="3"/>
  <c r="N80" i="3"/>
  <c r="L80" i="3"/>
  <c r="M80" i="3"/>
  <c r="L88" i="3"/>
  <c r="N88" i="3"/>
  <c r="M88" i="3"/>
  <c r="N96" i="3"/>
  <c r="L96" i="3"/>
  <c r="M96" i="3"/>
  <c r="N104" i="3"/>
  <c r="L104" i="3"/>
  <c r="M104" i="3"/>
  <c r="L79" i="3"/>
  <c r="N79" i="3"/>
  <c r="M79" i="3"/>
  <c r="N82" i="3"/>
  <c r="L82" i="3"/>
  <c r="M82" i="3"/>
  <c r="N90" i="3"/>
  <c r="L90" i="3"/>
  <c r="M90" i="3"/>
  <c r="N98" i="3"/>
  <c r="L98" i="3"/>
  <c r="M98" i="3"/>
  <c r="L85" i="3"/>
  <c r="N85" i="3"/>
  <c r="M85" i="3"/>
  <c r="N75" i="3"/>
  <c r="L75" i="3"/>
  <c r="M75" i="3"/>
  <c r="N83" i="3"/>
  <c r="L83" i="3"/>
  <c r="M83" i="3"/>
  <c r="N91" i="3"/>
  <c r="L91" i="3"/>
  <c r="M91" i="3"/>
  <c r="N99" i="3"/>
  <c r="L99" i="3"/>
  <c r="M99" i="3"/>
  <c r="N107" i="3"/>
  <c r="L107" i="3"/>
  <c r="M107" i="3"/>
  <c r="L71" i="3"/>
  <c r="N71" i="3"/>
  <c r="M71" i="3"/>
  <c r="N74" i="3"/>
  <c r="L74" i="3"/>
  <c r="M74" i="3"/>
  <c r="N106" i="3"/>
  <c r="L106" i="3"/>
  <c r="M106" i="3"/>
  <c r="L78" i="3"/>
  <c r="N78" i="3"/>
  <c r="M78" i="3"/>
  <c r="L86" i="3"/>
  <c r="N86" i="3"/>
  <c r="M86" i="3"/>
  <c r="L94" i="3"/>
  <c r="N94" i="3"/>
  <c r="M94" i="3"/>
  <c r="L102" i="3"/>
  <c r="N102" i="3"/>
  <c r="M102" i="3"/>
  <c r="L101" i="3"/>
  <c r="N101" i="3"/>
  <c r="M101" i="3"/>
  <c r="L70" i="3"/>
  <c r="N70" i="3"/>
  <c r="M70" i="3"/>
  <c r="N73" i="3"/>
  <c r="L73" i="3"/>
  <c r="M73" i="3"/>
  <c r="N81" i="3"/>
  <c r="L81" i="3"/>
  <c r="M81" i="3"/>
  <c r="N89" i="3"/>
  <c r="L89" i="3"/>
  <c r="M89" i="3"/>
  <c r="N97" i="3"/>
  <c r="L97" i="3"/>
  <c r="M97" i="3"/>
  <c r="N105" i="3"/>
  <c r="L105" i="3"/>
  <c r="M105" i="3"/>
  <c r="L95" i="3"/>
  <c r="N95" i="3"/>
  <c r="M95" i="3"/>
  <c r="L103" i="3"/>
  <c r="N103" i="3"/>
  <c r="M103" i="3"/>
  <c r="L69" i="3"/>
  <c r="N69" i="3"/>
  <c r="M69" i="3"/>
  <c r="N68" i="3"/>
  <c r="L68" i="3"/>
  <c r="M68" i="3"/>
  <c r="L76" i="3"/>
  <c r="N76" i="3"/>
  <c r="M76" i="3"/>
  <c r="L84" i="3"/>
  <c r="N84" i="3"/>
  <c r="M84" i="3"/>
  <c r="L92" i="3"/>
  <c r="N92" i="3"/>
  <c r="M92" i="3"/>
  <c r="L100" i="3"/>
  <c r="N100" i="3"/>
  <c r="M100" i="3"/>
  <c r="F82" i="3"/>
  <c r="I82" i="3" s="1"/>
  <c r="F106" i="3"/>
  <c r="I106" i="3" s="1"/>
  <c r="F69" i="3"/>
  <c r="I69" i="3" s="1"/>
  <c r="F77" i="3"/>
  <c r="F85" i="3"/>
  <c r="I85" i="3" s="1"/>
  <c r="F93" i="3"/>
  <c r="I93" i="3" s="1"/>
  <c r="F101" i="3"/>
  <c r="I101" i="3" s="1"/>
  <c r="F90" i="3"/>
  <c r="I90" i="3" s="1"/>
  <c r="F72" i="3"/>
  <c r="I72" i="3" s="1"/>
  <c r="F80" i="3"/>
  <c r="I80" i="3" s="1"/>
  <c r="F88" i="3"/>
  <c r="I88" i="3" s="1"/>
  <c r="F96" i="3"/>
  <c r="I96" i="3" s="1"/>
  <c r="F104" i="3"/>
  <c r="I104" i="3" s="1"/>
  <c r="F75" i="3"/>
  <c r="I75" i="3" s="1"/>
  <c r="F83" i="3"/>
  <c r="I83" i="3" s="1"/>
  <c r="F91" i="3"/>
  <c r="I91" i="3" s="1"/>
  <c r="F99" i="3"/>
  <c r="I99" i="3" s="1"/>
  <c r="F107" i="3"/>
  <c r="I107" i="3" s="1"/>
  <c r="F74" i="3"/>
  <c r="I74" i="3" s="1"/>
  <c r="F70" i="3"/>
  <c r="I70" i="3" s="1"/>
  <c r="F78" i="3"/>
  <c r="I78" i="3" s="1"/>
  <c r="F86" i="3"/>
  <c r="I86" i="3" s="1"/>
  <c r="F94" i="3"/>
  <c r="I94" i="3" s="1"/>
  <c r="F102" i="3"/>
  <c r="I102" i="3" s="1"/>
  <c r="F98" i="3"/>
  <c r="I98" i="3" s="1"/>
  <c r="F73" i="3"/>
  <c r="I73" i="3" s="1"/>
  <c r="F81" i="3"/>
  <c r="I81" i="3" s="1"/>
  <c r="F89" i="3"/>
  <c r="F97" i="3"/>
  <c r="I97" i="3" s="1"/>
  <c r="F105" i="3"/>
  <c r="I105" i="3" s="1"/>
  <c r="F68" i="3"/>
  <c r="I68" i="3" s="1"/>
  <c r="F76" i="3"/>
  <c r="I76" i="3" s="1"/>
  <c r="F84" i="3"/>
  <c r="I84" i="3" s="1"/>
  <c r="F92" i="3"/>
  <c r="I92" i="3" s="1"/>
  <c r="F100" i="3"/>
  <c r="I100" i="3" s="1"/>
  <c r="F71" i="3"/>
  <c r="I71" i="3" s="1"/>
  <c r="F79" i="3"/>
  <c r="I79" i="3" s="1"/>
  <c r="F87" i="3"/>
  <c r="I87" i="3" s="1"/>
  <c r="F95" i="3"/>
  <c r="I95" i="3" s="1"/>
  <c r="F103" i="3"/>
  <c r="I103" i="3" s="1"/>
  <c r="E74" i="3"/>
  <c r="H74" i="3" s="1"/>
  <c r="E90" i="3"/>
  <c r="G90" i="3" s="1"/>
  <c r="E106" i="3"/>
  <c r="G106" i="3" s="1"/>
  <c r="E9" i="3"/>
  <c r="E69" i="3"/>
  <c r="G69" i="3" s="1"/>
  <c r="J10" i="3"/>
  <c r="A13" i="2"/>
  <c r="A10" i="2"/>
  <c r="C20" i="2"/>
  <c r="G13" i="2"/>
  <c r="F13" i="2"/>
  <c r="B13" i="3"/>
  <c r="B12" i="3"/>
  <c r="D108" i="3"/>
  <c r="C108" i="3"/>
  <c r="O108" i="3" s="1"/>
  <c r="D67" i="3"/>
  <c r="C67" i="3"/>
  <c r="O67" i="3" s="1"/>
  <c r="D66" i="3"/>
  <c r="C66" i="3"/>
  <c r="O66" i="3" s="1"/>
  <c r="D65" i="3"/>
  <c r="C65" i="3"/>
  <c r="O65" i="3" s="1"/>
  <c r="D64" i="3"/>
  <c r="C64" i="3"/>
  <c r="O64" i="3" s="1"/>
  <c r="D63" i="3"/>
  <c r="C63" i="3"/>
  <c r="O63" i="3" s="1"/>
  <c r="D62" i="3"/>
  <c r="C62" i="3"/>
  <c r="O62" i="3" s="1"/>
  <c r="D61" i="3"/>
  <c r="C61" i="3"/>
  <c r="O61" i="3" s="1"/>
  <c r="D60" i="3"/>
  <c r="C60" i="3"/>
  <c r="O60" i="3" s="1"/>
  <c r="D59" i="3"/>
  <c r="C59" i="3"/>
  <c r="O59" i="3" s="1"/>
  <c r="D58" i="3"/>
  <c r="C58" i="3"/>
  <c r="O58" i="3" s="1"/>
  <c r="D57" i="3"/>
  <c r="C57" i="3"/>
  <c r="O57" i="3" s="1"/>
  <c r="D56" i="3"/>
  <c r="C56" i="3"/>
  <c r="O56" i="3" s="1"/>
  <c r="D55" i="3"/>
  <c r="C55" i="3"/>
  <c r="O55" i="3" s="1"/>
  <c r="D54" i="3"/>
  <c r="C54" i="3"/>
  <c r="O54" i="3" s="1"/>
  <c r="D53" i="3"/>
  <c r="C53" i="3"/>
  <c r="O53" i="3" s="1"/>
  <c r="D52" i="3"/>
  <c r="C52" i="3"/>
  <c r="O52" i="3" s="1"/>
  <c r="D51" i="3"/>
  <c r="C51" i="3"/>
  <c r="O51" i="3" s="1"/>
  <c r="D50" i="3"/>
  <c r="C50" i="3"/>
  <c r="O50" i="3" s="1"/>
  <c r="D49" i="3"/>
  <c r="C49" i="3"/>
  <c r="O49" i="3" s="1"/>
  <c r="D48" i="3"/>
  <c r="C48" i="3"/>
  <c r="O48" i="3" s="1"/>
  <c r="D47" i="3"/>
  <c r="C47" i="3"/>
  <c r="O47" i="3" s="1"/>
  <c r="D46" i="3"/>
  <c r="C46" i="3"/>
  <c r="O46" i="3" s="1"/>
  <c r="D45" i="3"/>
  <c r="C45" i="3"/>
  <c r="O45" i="3" s="1"/>
  <c r="D44" i="3"/>
  <c r="C44" i="3"/>
  <c r="O44" i="3" s="1"/>
  <c r="D43" i="3"/>
  <c r="C43" i="3"/>
  <c r="O43" i="3" s="1"/>
  <c r="D42" i="3"/>
  <c r="C42" i="3"/>
  <c r="O42" i="3" s="1"/>
  <c r="D41" i="3"/>
  <c r="C41" i="3"/>
  <c r="O41" i="3" s="1"/>
  <c r="D40" i="3"/>
  <c r="C40" i="3"/>
  <c r="O40" i="3" s="1"/>
  <c r="D39" i="3"/>
  <c r="C39" i="3"/>
  <c r="O39" i="3" s="1"/>
  <c r="D38" i="3"/>
  <c r="C38" i="3"/>
  <c r="O38" i="3" s="1"/>
  <c r="D37" i="3"/>
  <c r="C37" i="3"/>
  <c r="O37" i="3" s="1"/>
  <c r="D36" i="3"/>
  <c r="C36" i="3"/>
  <c r="O36" i="3" s="1"/>
  <c r="D35" i="3"/>
  <c r="C35" i="3"/>
  <c r="O35" i="3" s="1"/>
  <c r="D34" i="3"/>
  <c r="C34" i="3"/>
  <c r="O34" i="3" s="1"/>
  <c r="D33" i="3"/>
  <c r="C33" i="3"/>
  <c r="O33" i="3" s="1"/>
  <c r="D32" i="3"/>
  <c r="C32" i="3"/>
  <c r="O32" i="3" s="1"/>
  <c r="D31" i="3"/>
  <c r="C31" i="3"/>
  <c r="O31" i="3" s="1"/>
  <c r="D30" i="3"/>
  <c r="C30" i="3"/>
  <c r="O30" i="3" s="1"/>
  <c r="D29" i="3"/>
  <c r="C29" i="3"/>
  <c r="O29" i="3" s="1"/>
  <c r="D28" i="3"/>
  <c r="C28" i="3"/>
  <c r="O28" i="3" s="1"/>
  <c r="D27" i="3"/>
  <c r="C27" i="3"/>
  <c r="O27" i="3" s="1"/>
  <c r="D26" i="3"/>
  <c r="C26" i="3"/>
  <c r="O26" i="3" s="1"/>
  <c r="D25" i="3"/>
  <c r="C25" i="3"/>
  <c r="O25" i="3" s="1"/>
  <c r="D24" i="3"/>
  <c r="C24" i="3"/>
  <c r="O24" i="3" s="1"/>
  <c r="D23" i="3"/>
  <c r="C23" i="3"/>
  <c r="O23" i="3" s="1"/>
  <c r="D22" i="3"/>
  <c r="C22" i="3"/>
  <c r="O22" i="3" s="1"/>
  <c r="D21" i="3"/>
  <c r="C21" i="3"/>
  <c r="O21" i="3" s="1"/>
  <c r="D20" i="3"/>
  <c r="C20" i="3"/>
  <c r="O20" i="3" s="1"/>
  <c r="D19" i="3"/>
  <c r="C19" i="3"/>
  <c r="O19" i="3" s="1"/>
  <c r="D18" i="3"/>
  <c r="C18" i="3"/>
  <c r="O18" i="3" s="1"/>
  <c r="D17" i="3"/>
  <c r="C17" i="3"/>
  <c r="O17" i="3" s="1"/>
  <c r="D16" i="3"/>
  <c r="C16" i="3"/>
  <c r="O16" i="3" s="1"/>
  <c r="D15" i="3"/>
  <c r="C15" i="3"/>
  <c r="O15" i="3" s="1"/>
  <c r="D14" i="3"/>
  <c r="C14" i="3"/>
  <c r="O14" i="3" s="1"/>
  <c r="D13" i="3"/>
  <c r="C13" i="3"/>
  <c r="O13" i="3" s="1"/>
  <c r="D12" i="3"/>
  <c r="C12" i="3"/>
  <c r="O12" i="3" s="1"/>
  <c r="D11" i="3"/>
  <c r="C11" i="3"/>
  <c r="O11" i="3" s="1"/>
  <c r="D10" i="3"/>
  <c r="C10" i="3"/>
  <c r="O10" i="3" s="1"/>
  <c r="D9" i="3"/>
  <c r="C9" i="3"/>
  <c r="C6" i="3"/>
  <c r="S10" i="2" l="1"/>
  <c r="S11" i="2"/>
  <c r="O23" i="2" s="1"/>
  <c r="J10" i="2"/>
  <c r="J11" i="2"/>
  <c r="F23" i="2" s="1"/>
  <c r="H11" i="2"/>
  <c r="D23" i="2" s="1"/>
  <c r="H10" i="2"/>
  <c r="O10" i="2"/>
  <c r="O11" i="2"/>
  <c r="K23" i="2" s="1"/>
  <c r="K10" i="2"/>
  <c r="K11" i="2"/>
  <c r="G23" i="2" s="1"/>
  <c r="R11" i="2"/>
  <c r="N23" i="2" s="1"/>
  <c r="R10" i="2"/>
  <c r="O9" i="3"/>
  <c r="N10" i="2" s="1"/>
  <c r="J22" i="2" s="1"/>
  <c r="I65" i="3"/>
  <c r="H106" i="3"/>
  <c r="I44" i="3"/>
  <c r="I48" i="3"/>
  <c r="H90" i="3"/>
  <c r="N17" i="3"/>
  <c r="L17" i="3"/>
  <c r="M17" i="3"/>
  <c r="L37" i="3"/>
  <c r="N37" i="3"/>
  <c r="M37" i="3"/>
  <c r="L45" i="3"/>
  <c r="N45" i="3"/>
  <c r="M45" i="3"/>
  <c r="N65" i="3"/>
  <c r="L65" i="3"/>
  <c r="M65" i="3"/>
  <c r="N10" i="3"/>
  <c r="L10" i="3"/>
  <c r="H10" i="3"/>
  <c r="M10" i="3"/>
  <c r="G10" i="3"/>
  <c r="L14" i="3"/>
  <c r="N14" i="3"/>
  <c r="M14" i="3"/>
  <c r="N18" i="3"/>
  <c r="L18" i="3"/>
  <c r="M18" i="3"/>
  <c r="L22" i="3"/>
  <c r="N22" i="3"/>
  <c r="M22" i="3"/>
  <c r="N26" i="3"/>
  <c r="L26" i="3"/>
  <c r="M26" i="3"/>
  <c r="L30" i="3"/>
  <c r="N30" i="3"/>
  <c r="M30" i="3"/>
  <c r="N34" i="3"/>
  <c r="L34" i="3"/>
  <c r="M34" i="3"/>
  <c r="L38" i="3"/>
  <c r="N38" i="3"/>
  <c r="M38" i="3"/>
  <c r="N42" i="3"/>
  <c r="L42" i="3"/>
  <c r="M42" i="3"/>
  <c r="L46" i="3"/>
  <c r="N46" i="3"/>
  <c r="M46" i="3"/>
  <c r="N50" i="3"/>
  <c r="L50" i="3"/>
  <c r="M50" i="3"/>
  <c r="L54" i="3"/>
  <c r="N54" i="3"/>
  <c r="M54" i="3"/>
  <c r="N58" i="3"/>
  <c r="L58" i="3"/>
  <c r="M58" i="3"/>
  <c r="L62" i="3"/>
  <c r="N62" i="3"/>
  <c r="M62" i="3"/>
  <c r="N66" i="3"/>
  <c r="L66" i="3"/>
  <c r="M66" i="3"/>
  <c r="N25" i="3"/>
  <c r="L25" i="3"/>
  <c r="M25" i="3"/>
  <c r="L53" i="3"/>
  <c r="N53" i="3"/>
  <c r="M53" i="3"/>
  <c r="G74" i="3"/>
  <c r="L21" i="3"/>
  <c r="N21" i="3"/>
  <c r="M21" i="3"/>
  <c r="L61" i="3"/>
  <c r="N61" i="3"/>
  <c r="M61" i="3"/>
  <c r="H69" i="3"/>
  <c r="N19" i="3"/>
  <c r="L19" i="3"/>
  <c r="M19" i="3"/>
  <c r="N27" i="3"/>
  <c r="L27" i="3"/>
  <c r="M27" i="3"/>
  <c r="N35" i="3"/>
  <c r="L35" i="3"/>
  <c r="M35" i="3"/>
  <c r="L39" i="3"/>
  <c r="N39" i="3"/>
  <c r="M39" i="3"/>
  <c r="N43" i="3"/>
  <c r="L43" i="3"/>
  <c r="M43" i="3"/>
  <c r="L47" i="3"/>
  <c r="N47" i="3"/>
  <c r="M47" i="3"/>
  <c r="N51" i="3"/>
  <c r="L51" i="3"/>
  <c r="M51" i="3"/>
  <c r="L55" i="3"/>
  <c r="N55" i="3"/>
  <c r="M55" i="3"/>
  <c r="N59" i="3"/>
  <c r="L59" i="3"/>
  <c r="M59" i="3"/>
  <c r="L63" i="3"/>
  <c r="N63" i="3"/>
  <c r="M63" i="3"/>
  <c r="N67" i="3"/>
  <c r="L67" i="3"/>
  <c r="M67" i="3"/>
  <c r="L13" i="3"/>
  <c r="N13" i="3"/>
  <c r="M13" i="3"/>
  <c r="N33" i="3"/>
  <c r="L33" i="3"/>
  <c r="M33" i="3"/>
  <c r="N41" i="3"/>
  <c r="L41" i="3"/>
  <c r="M41" i="3"/>
  <c r="N57" i="3"/>
  <c r="L57" i="3"/>
  <c r="M57" i="3"/>
  <c r="L15" i="3"/>
  <c r="N15" i="3"/>
  <c r="M15" i="3"/>
  <c r="L31" i="3"/>
  <c r="N31" i="3"/>
  <c r="M31" i="3"/>
  <c r="N9" i="3"/>
  <c r="M9" i="3"/>
  <c r="L9" i="3"/>
  <c r="G9" i="3"/>
  <c r="L29" i="3"/>
  <c r="N29" i="3"/>
  <c r="M29" i="3"/>
  <c r="N49" i="3"/>
  <c r="L49" i="3"/>
  <c r="M49" i="3"/>
  <c r="N11" i="3"/>
  <c r="L11" i="3"/>
  <c r="M11" i="3"/>
  <c r="L23" i="3"/>
  <c r="N23" i="3"/>
  <c r="M23" i="3"/>
  <c r="L12" i="3"/>
  <c r="N12" i="3"/>
  <c r="M12" i="3"/>
  <c r="N16" i="3"/>
  <c r="L16" i="3"/>
  <c r="M16" i="3"/>
  <c r="N20" i="3"/>
  <c r="L20" i="3"/>
  <c r="M20" i="3"/>
  <c r="N24" i="3"/>
  <c r="L24" i="3"/>
  <c r="M24" i="3"/>
  <c r="L28" i="3"/>
  <c r="N28" i="3"/>
  <c r="M28" i="3"/>
  <c r="N32" i="3"/>
  <c r="L32" i="3"/>
  <c r="M32" i="3"/>
  <c r="L36" i="3"/>
  <c r="N36" i="3"/>
  <c r="M36" i="3"/>
  <c r="N40" i="3"/>
  <c r="L40" i="3"/>
  <c r="M40" i="3"/>
  <c r="L44" i="3"/>
  <c r="N44" i="3"/>
  <c r="M44" i="3"/>
  <c r="L48" i="3"/>
  <c r="N48" i="3"/>
  <c r="M48" i="3"/>
  <c r="L52" i="3"/>
  <c r="N52" i="3"/>
  <c r="M52" i="3"/>
  <c r="N56" i="3"/>
  <c r="L56" i="3"/>
  <c r="M56" i="3"/>
  <c r="L60" i="3"/>
  <c r="N60" i="3"/>
  <c r="M60" i="3"/>
  <c r="N64" i="3"/>
  <c r="L64" i="3"/>
  <c r="M64" i="3"/>
  <c r="N108" i="3"/>
  <c r="L108" i="3"/>
  <c r="M108" i="3"/>
  <c r="F11" i="3"/>
  <c r="I11" i="3" s="1"/>
  <c r="F35" i="3"/>
  <c r="I35" i="3" s="1"/>
  <c r="F63" i="3"/>
  <c r="I63" i="3" s="1"/>
  <c r="F12" i="3"/>
  <c r="I12" i="3" s="1"/>
  <c r="F20" i="3"/>
  <c r="I20" i="3" s="1"/>
  <c r="F24" i="3"/>
  <c r="I24" i="3" s="1"/>
  <c r="F28" i="3"/>
  <c r="I28" i="3" s="1"/>
  <c r="F32" i="3"/>
  <c r="I32" i="3" s="1"/>
  <c r="F36" i="3"/>
  <c r="I36" i="3" s="1"/>
  <c r="F40" i="3"/>
  <c r="I40" i="3" s="1"/>
  <c r="F44" i="3"/>
  <c r="F48" i="3"/>
  <c r="F52" i="3"/>
  <c r="I52" i="3" s="1"/>
  <c r="F56" i="3"/>
  <c r="I56" i="3" s="1"/>
  <c r="F60" i="3"/>
  <c r="I60" i="3" s="1"/>
  <c r="F64" i="3"/>
  <c r="I64" i="3" s="1"/>
  <c r="F108" i="3"/>
  <c r="I108" i="3" s="1"/>
  <c r="F31" i="3"/>
  <c r="I31" i="3" s="1"/>
  <c r="F55" i="3"/>
  <c r="I55" i="3" s="1"/>
  <c r="F16" i="3"/>
  <c r="I16" i="3" s="1"/>
  <c r="F27" i="3"/>
  <c r="I27" i="3" s="1"/>
  <c r="F47" i="3"/>
  <c r="I47" i="3" s="1"/>
  <c r="F41" i="3"/>
  <c r="I41" i="3" s="1"/>
  <c r="F43" i="3"/>
  <c r="I43" i="3" s="1"/>
  <c r="F17" i="3"/>
  <c r="I17" i="3" s="1"/>
  <c r="F29" i="3"/>
  <c r="I29" i="3" s="1"/>
  <c r="F49" i="3"/>
  <c r="I49" i="3" s="1"/>
  <c r="F65" i="3"/>
  <c r="F15" i="3"/>
  <c r="I15" i="3" s="1"/>
  <c r="F39" i="3"/>
  <c r="I39" i="3" s="1"/>
  <c r="F59" i="3"/>
  <c r="I59" i="3" s="1"/>
  <c r="F9" i="3"/>
  <c r="I9" i="3" s="1"/>
  <c r="H9" i="3"/>
  <c r="F21" i="3"/>
  <c r="I21" i="3" s="1"/>
  <c r="F33" i="3"/>
  <c r="I33" i="3" s="1"/>
  <c r="F45" i="3"/>
  <c r="I45" i="3" s="1"/>
  <c r="F57" i="3"/>
  <c r="I57" i="3" s="1"/>
  <c r="F14" i="3"/>
  <c r="I14" i="3" s="1"/>
  <c r="F18" i="3"/>
  <c r="I18" i="3" s="1"/>
  <c r="F22" i="3"/>
  <c r="I22" i="3" s="1"/>
  <c r="F30" i="3"/>
  <c r="I30" i="3" s="1"/>
  <c r="F34" i="3"/>
  <c r="I34" i="3" s="1"/>
  <c r="F38" i="3"/>
  <c r="I38" i="3" s="1"/>
  <c r="F42" i="3"/>
  <c r="I42" i="3" s="1"/>
  <c r="F46" i="3"/>
  <c r="I46" i="3" s="1"/>
  <c r="F50" i="3"/>
  <c r="I50" i="3" s="1"/>
  <c r="F54" i="3"/>
  <c r="I54" i="3" s="1"/>
  <c r="F58" i="3"/>
  <c r="I58" i="3" s="1"/>
  <c r="F62" i="3"/>
  <c r="I62" i="3" s="1"/>
  <c r="F66" i="3"/>
  <c r="I66" i="3" s="1"/>
  <c r="F23" i="3"/>
  <c r="I23" i="3" s="1"/>
  <c r="F51" i="3"/>
  <c r="I51" i="3" s="1"/>
  <c r="F13" i="3"/>
  <c r="I13" i="3" s="1"/>
  <c r="F25" i="3"/>
  <c r="I25" i="3" s="1"/>
  <c r="F37" i="3"/>
  <c r="I37" i="3" s="1"/>
  <c r="F53" i="3"/>
  <c r="I53" i="3" s="1"/>
  <c r="F61" i="3"/>
  <c r="I61" i="3" s="1"/>
  <c r="F10" i="3"/>
  <c r="I10" i="3" s="1"/>
  <c r="F26" i="3"/>
  <c r="I26" i="3" s="1"/>
  <c r="F19" i="3"/>
  <c r="I19" i="3" s="1"/>
  <c r="F67" i="3"/>
  <c r="I67" i="3" s="1"/>
  <c r="E107" i="3"/>
  <c r="E89" i="3"/>
  <c r="E23" i="3"/>
  <c r="G23" i="3" s="1"/>
  <c r="E54" i="3"/>
  <c r="H54" i="3" s="1"/>
  <c r="E52" i="3"/>
  <c r="G52" i="3" s="1"/>
  <c r="E27" i="3"/>
  <c r="H27" i="3" s="1"/>
  <c r="E104" i="3"/>
  <c r="J9" i="3"/>
  <c r="E108" i="3"/>
  <c r="H108" i="3" s="1"/>
  <c r="E44" i="3"/>
  <c r="H44" i="3" s="1"/>
  <c r="E83" i="3"/>
  <c r="E19" i="3"/>
  <c r="G19" i="3" s="1"/>
  <c r="E34" i="3"/>
  <c r="H34" i="3" s="1"/>
  <c r="E65" i="3"/>
  <c r="G65" i="3" s="1"/>
  <c r="E96" i="3"/>
  <c r="E32" i="3"/>
  <c r="H32" i="3" s="1"/>
  <c r="E63" i="3"/>
  <c r="H63" i="3" s="1"/>
  <c r="E94" i="3"/>
  <c r="E30" i="3"/>
  <c r="G30" i="3" s="1"/>
  <c r="E53" i="3"/>
  <c r="G53" i="3" s="1"/>
  <c r="E58" i="3"/>
  <c r="H58" i="3" s="1"/>
  <c r="E87" i="3"/>
  <c r="E85" i="3"/>
  <c r="E91" i="3"/>
  <c r="E42" i="3"/>
  <c r="G42" i="3" s="1"/>
  <c r="E73" i="3"/>
  <c r="E40" i="3"/>
  <c r="G40" i="3" s="1"/>
  <c r="E71" i="3"/>
  <c r="E102" i="3"/>
  <c r="E38" i="3"/>
  <c r="H38" i="3" s="1"/>
  <c r="E61" i="3"/>
  <c r="H61" i="3" s="1"/>
  <c r="E100" i="3"/>
  <c r="E36" i="3"/>
  <c r="H36" i="3" s="1"/>
  <c r="E75" i="3"/>
  <c r="E11" i="3"/>
  <c r="H11" i="3" s="1"/>
  <c r="E26" i="3"/>
  <c r="G26" i="3" s="1"/>
  <c r="E57" i="3"/>
  <c r="H57" i="3" s="1"/>
  <c r="E88" i="3"/>
  <c r="E24" i="3"/>
  <c r="H24" i="3" s="1"/>
  <c r="E55" i="3"/>
  <c r="H55" i="3" s="1"/>
  <c r="E86" i="3"/>
  <c r="E22" i="3"/>
  <c r="H22" i="3" s="1"/>
  <c r="E45" i="3"/>
  <c r="H45" i="3" s="1"/>
  <c r="E68" i="3"/>
  <c r="E56" i="3"/>
  <c r="H56" i="3" s="1"/>
  <c r="E60" i="3"/>
  <c r="G60" i="3" s="1"/>
  <c r="E98" i="3"/>
  <c r="E92" i="3"/>
  <c r="E28" i="3"/>
  <c r="H28" i="3" s="1"/>
  <c r="E67" i="3"/>
  <c r="H67" i="3" s="1"/>
  <c r="E49" i="3"/>
  <c r="H49" i="3" s="1"/>
  <c r="E80" i="3"/>
  <c r="E16" i="3"/>
  <c r="H16" i="3" s="1"/>
  <c r="E47" i="3"/>
  <c r="G47" i="3" s="1"/>
  <c r="E78" i="3"/>
  <c r="E14" i="3"/>
  <c r="H14" i="3" s="1"/>
  <c r="E37" i="3"/>
  <c r="G37" i="3" s="1"/>
  <c r="J69" i="3"/>
  <c r="E84" i="3"/>
  <c r="E20" i="3"/>
  <c r="G20" i="3" s="1"/>
  <c r="E59" i="3"/>
  <c r="G59" i="3" s="1"/>
  <c r="E82" i="3"/>
  <c r="E105" i="3"/>
  <c r="E41" i="3"/>
  <c r="G41" i="3" s="1"/>
  <c r="E72" i="3"/>
  <c r="E103" i="3"/>
  <c r="E39" i="3"/>
  <c r="G39" i="3" s="1"/>
  <c r="E70" i="3"/>
  <c r="E101" i="3"/>
  <c r="E29" i="3"/>
  <c r="H29" i="3" s="1"/>
  <c r="E43" i="3"/>
  <c r="H43" i="3" s="1"/>
  <c r="E76" i="3"/>
  <c r="E51" i="3"/>
  <c r="G51" i="3" s="1"/>
  <c r="E66" i="3"/>
  <c r="H66" i="3" s="1"/>
  <c r="E97" i="3"/>
  <c r="E33" i="3"/>
  <c r="G33" i="3" s="1"/>
  <c r="E64" i="3"/>
  <c r="H64" i="3" s="1"/>
  <c r="E95" i="3"/>
  <c r="E31" i="3"/>
  <c r="G31" i="3" s="1"/>
  <c r="E62" i="3"/>
  <c r="G62" i="3" s="1"/>
  <c r="E93" i="3"/>
  <c r="E21" i="3"/>
  <c r="H21" i="3" s="1"/>
  <c r="J106" i="3"/>
  <c r="J74" i="3"/>
  <c r="E25" i="3"/>
  <c r="G25" i="3" s="1"/>
  <c r="E99" i="3"/>
  <c r="E35" i="3"/>
  <c r="H35" i="3" s="1"/>
  <c r="E50" i="3"/>
  <c r="G50" i="3" s="1"/>
  <c r="E81" i="3"/>
  <c r="E17" i="3"/>
  <c r="E48" i="3"/>
  <c r="G48" i="3" s="1"/>
  <c r="E79" i="3"/>
  <c r="E15" i="3"/>
  <c r="G15" i="3" s="1"/>
  <c r="E46" i="3"/>
  <c r="H46" i="3" s="1"/>
  <c r="E77" i="3"/>
  <c r="A11" i="2"/>
  <c r="A14" i="2"/>
  <c r="E18" i="3"/>
  <c r="H18" i="3" s="1"/>
  <c r="E13" i="3"/>
  <c r="G13" i="3" s="1"/>
  <c r="E12" i="3"/>
  <c r="H12" i="3" s="1"/>
  <c r="C21" i="2"/>
  <c r="S14" i="2" l="1"/>
  <c r="O24" i="2" s="1"/>
  <c r="O22" i="2"/>
  <c r="J14" i="2"/>
  <c r="F24" i="2" s="1"/>
  <c r="F22" i="2"/>
  <c r="H14" i="2"/>
  <c r="D24" i="2" s="1"/>
  <c r="D22" i="2"/>
  <c r="O14" i="2"/>
  <c r="K24" i="2" s="1"/>
  <c r="K22" i="2"/>
  <c r="K14" i="2"/>
  <c r="G24" i="2" s="1"/>
  <c r="G22" i="2"/>
  <c r="R14" i="2"/>
  <c r="N24" i="2" s="1"/>
  <c r="N22" i="2"/>
  <c r="N9" i="2"/>
  <c r="J20" i="2" s="1"/>
  <c r="N8" i="2"/>
  <c r="N14" i="2"/>
  <c r="J24" i="2" s="1"/>
  <c r="H17" i="3"/>
  <c r="K9" i="2"/>
  <c r="G20" i="2" s="1"/>
  <c r="I9" i="2"/>
  <c r="E20" i="2" s="1"/>
  <c r="H9" i="2"/>
  <c r="D20" i="2" s="1"/>
  <c r="K8" i="2"/>
  <c r="G19" i="2" s="1"/>
  <c r="J9" i="2"/>
  <c r="F20" i="2" s="1"/>
  <c r="J8" i="2"/>
  <c r="F19" i="2" s="1"/>
  <c r="I8" i="2"/>
  <c r="E19" i="2" s="1"/>
  <c r="H8" i="2"/>
  <c r="D19" i="2" s="1"/>
  <c r="M10" i="2"/>
  <c r="I22" i="2" s="1"/>
  <c r="L10" i="2"/>
  <c r="G14" i="3"/>
  <c r="G32" i="3"/>
  <c r="H52" i="3"/>
  <c r="G24" i="3"/>
  <c r="G64" i="3"/>
  <c r="G56" i="3"/>
  <c r="G12" i="3"/>
  <c r="G55" i="3"/>
  <c r="H62" i="3"/>
  <c r="H40" i="3"/>
  <c r="G22" i="3"/>
  <c r="G17" i="3"/>
  <c r="G36" i="3"/>
  <c r="G57" i="3"/>
  <c r="H39" i="3"/>
  <c r="H51" i="3"/>
  <c r="H25" i="3"/>
  <c r="G58" i="3"/>
  <c r="H42" i="3"/>
  <c r="H31" i="3"/>
  <c r="G43" i="3"/>
  <c r="H99" i="3"/>
  <c r="G99" i="3"/>
  <c r="H95" i="3"/>
  <c r="G95" i="3"/>
  <c r="H82" i="3"/>
  <c r="G82" i="3"/>
  <c r="H88" i="3"/>
  <c r="G88" i="3"/>
  <c r="H87" i="3"/>
  <c r="G87" i="3"/>
  <c r="H60" i="3"/>
  <c r="H48" i="3"/>
  <c r="G49" i="3"/>
  <c r="H47" i="3"/>
  <c r="G54" i="3"/>
  <c r="H30" i="3"/>
  <c r="H65" i="3"/>
  <c r="G101" i="3"/>
  <c r="H101" i="3"/>
  <c r="G102" i="3"/>
  <c r="H102" i="3"/>
  <c r="G44" i="3"/>
  <c r="G28" i="3"/>
  <c r="H23" i="3"/>
  <c r="H41" i="3"/>
  <c r="H13" i="3"/>
  <c r="G63" i="3"/>
  <c r="H59" i="3"/>
  <c r="G27" i="3"/>
  <c r="H19" i="3"/>
  <c r="G21" i="3"/>
  <c r="G66" i="3"/>
  <c r="H50" i="3"/>
  <c r="G34" i="3"/>
  <c r="G45" i="3"/>
  <c r="H37" i="3"/>
  <c r="H68" i="3"/>
  <c r="G68" i="3"/>
  <c r="G46" i="3"/>
  <c r="H103" i="3"/>
  <c r="G103" i="3"/>
  <c r="H75" i="3"/>
  <c r="G75" i="3"/>
  <c r="H73" i="3"/>
  <c r="G73" i="3"/>
  <c r="H94" i="3"/>
  <c r="G94" i="3"/>
  <c r="G89" i="3"/>
  <c r="H89" i="3"/>
  <c r="G108" i="3"/>
  <c r="G16" i="3"/>
  <c r="G67" i="3"/>
  <c r="G35" i="3"/>
  <c r="G61" i="3"/>
  <c r="G38" i="3"/>
  <c r="H53" i="3"/>
  <c r="G84" i="3"/>
  <c r="H84" i="3"/>
  <c r="G83" i="3"/>
  <c r="H83" i="3"/>
  <c r="G81" i="3"/>
  <c r="H81" i="3"/>
  <c r="H93" i="3"/>
  <c r="G93" i="3"/>
  <c r="H72" i="3"/>
  <c r="G72" i="3"/>
  <c r="H86" i="3"/>
  <c r="G86" i="3"/>
  <c r="H107" i="3"/>
  <c r="G107" i="3"/>
  <c r="G29" i="3"/>
  <c r="H15" i="3"/>
  <c r="G18" i="3"/>
  <c r="H79" i="3"/>
  <c r="G79" i="3"/>
  <c r="G70" i="3"/>
  <c r="H70" i="3"/>
  <c r="G71" i="3"/>
  <c r="H71" i="3"/>
  <c r="H20" i="3"/>
  <c r="G11" i="3"/>
  <c r="G76" i="3"/>
  <c r="H76" i="3"/>
  <c r="H92" i="3"/>
  <c r="G92" i="3"/>
  <c r="G100" i="3"/>
  <c r="H100" i="3"/>
  <c r="G91" i="3"/>
  <c r="H91" i="3"/>
  <c r="H33" i="3"/>
  <c r="H26" i="3"/>
  <c r="G80" i="3"/>
  <c r="H80" i="3"/>
  <c r="H97" i="3"/>
  <c r="G97" i="3"/>
  <c r="H77" i="3"/>
  <c r="G77" i="3"/>
  <c r="G105" i="3"/>
  <c r="H105" i="3"/>
  <c r="G78" i="3"/>
  <c r="H78" i="3"/>
  <c r="H98" i="3"/>
  <c r="G98" i="3"/>
  <c r="G85" i="3"/>
  <c r="H85" i="3"/>
  <c r="G96" i="3"/>
  <c r="H96" i="3"/>
  <c r="G104" i="3"/>
  <c r="H104" i="3"/>
  <c r="J16" i="3"/>
  <c r="J94" i="3"/>
  <c r="J44" i="3"/>
  <c r="J45" i="3"/>
  <c r="J14" i="3"/>
  <c r="J53" i="3"/>
  <c r="J86" i="3"/>
  <c r="J27" i="3"/>
  <c r="J57" i="3"/>
  <c r="J49" i="3"/>
  <c r="J56" i="3"/>
  <c r="J50" i="3"/>
  <c r="J99" i="3"/>
  <c r="J93" i="3"/>
  <c r="J31" i="3"/>
  <c r="J51" i="3"/>
  <c r="J43" i="3"/>
  <c r="J29" i="3"/>
  <c r="J70" i="3"/>
  <c r="J103" i="3"/>
  <c r="J41" i="3"/>
  <c r="J82" i="3"/>
  <c r="J20" i="3"/>
  <c r="J67" i="3"/>
  <c r="J92" i="3"/>
  <c r="J60" i="3"/>
  <c r="J68" i="3"/>
  <c r="J40" i="3"/>
  <c r="J72" i="3"/>
  <c r="J33" i="3"/>
  <c r="J77" i="3"/>
  <c r="J90" i="3"/>
  <c r="J48" i="3"/>
  <c r="J35" i="3"/>
  <c r="J21" i="3"/>
  <c r="J62" i="3"/>
  <c r="J95" i="3"/>
  <c r="J66" i="3"/>
  <c r="J76" i="3"/>
  <c r="J101" i="3"/>
  <c r="J39" i="3"/>
  <c r="J59" i="3"/>
  <c r="J84" i="3"/>
  <c r="J28" i="3"/>
  <c r="J98" i="3"/>
  <c r="J73" i="3"/>
  <c r="N13" i="2" l="1"/>
  <c r="J21" i="2" s="1"/>
  <c r="L9" i="2"/>
  <c r="H20" i="2" s="1"/>
  <c r="M9" i="2"/>
  <c r="I20" i="2" s="1"/>
  <c r="M8" i="2"/>
  <c r="J19" i="2"/>
  <c r="L8" i="2"/>
  <c r="H19" i="2" s="1"/>
  <c r="H13" i="2"/>
  <c r="D21" i="2" s="1"/>
  <c r="M14" i="2"/>
  <c r="I24" i="2" s="1"/>
  <c r="H22" i="2"/>
  <c r="L14" i="2"/>
  <c r="H24" i="2" s="1"/>
  <c r="J83" i="3"/>
  <c r="J65" i="3"/>
  <c r="J34" i="3"/>
  <c r="J97" i="3"/>
  <c r="J32" i="3"/>
  <c r="J36" i="3"/>
  <c r="J13" i="3"/>
  <c r="J81" i="3"/>
  <c r="J107" i="3"/>
  <c r="J64" i="3"/>
  <c r="J58" i="3"/>
  <c r="J54" i="3"/>
  <c r="J61" i="3"/>
  <c r="J18" i="3"/>
  <c r="J71" i="3"/>
  <c r="J23" i="3"/>
  <c r="J37" i="3"/>
  <c r="J85" i="3"/>
  <c r="J19" i="3"/>
  <c r="J105" i="3"/>
  <c r="J52" i="3"/>
  <c r="J63" i="3"/>
  <c r="J26" i="3"/>
  <c r="J80" i="3"/>
  <c r="J42" i="3"/>
  <c r="J24" i="3"/>
  <c r="J17" i="3"/>
  <c r="J11" i="3"/>
  <c r="J91" i="3"/>
  <c r="J104" i="3"/>
  <c r="J100" i="3"/>
  <c r="J15" i="3"/>
  <c r="J30" i="3"/>
  <c r="J47" i="3"/>
  <c r="J79" i="3"/>
  <c r="J22" i="3"/>
  <c r="J96" i="3"/>
  <c r="J75" i="3"/>
  <c r="J78" i="3"/>
  <c r="J38" i="3"/>
  <c r="J25" i="3"/>
  <c r="J87" i="3"/>
  <c r="J88" i="3"/>
  <c r="J108" i="3"/>
  <c r="J55" i="3"/>
  <c r="J89" i="3"/>
  <c r="J102" i="3"/>
  <c r="J46" i="3"/>
  <c r="J12" i="3"/>
  <c r="K13" i="2"/>
  <c r="G21" i="2" s="1"/>
  <c r="J13" i="2"/>
  <c r="F21" i="2" s="1"/>
  <c r="I13" i="2"/>
  <c r="E21" i="2" s="1"/>
  <c r="C8" i="2"/>
  <c r="B8" i="2"/>
  <c r="B9" i="2" s="1"/>
  <c r="A19" i="2"/>
  <c r="A20" i="2" s="1"/>
  <c r="A21" i="2" s="1"/>
  <c r="M13" i="2" l="1"/>
  <c r="I21" i="2" s="1"/>
  <c r="I19" i="2"/>
  <c r="L13" i="2"/>
  <c r="H21" i="2" s="1"/>
  <c r="S9" i="2"/>
  <c r="O20" i="2" s="1"/>
  <c r="P8" i="2"/>
  <c r="R9" i="2"/>
  <c r="N20" i="2" s="1"/>
  <c r="O8" i="2"/>
  <c r="Q9" i="2"/>
  <c r="M20" i="2" s="1"/>
  <c r="P9" i="2"/>
  <c r="L20" i="2" s="1"/>
  <c r="O9" i="2"/>
  <c r="K20" i="2" s="1"/>
  <c r="S8" i="2"/>
  <c r="O19" i="2" s="1"/>
  <c r="Q8" i="2"/>
  <c r="M19" i="2" s="1"/>
  <c r="R8" i="2"/>
  <c r="N19" i="2" s="1"/>
  <c r="B13" i="2"/>
  <c r="B10" i="2"/>
  <c r="C9" i="2"/>
  <c r="C10" i="2" s="1"/>
  <c r="D9" i="2"/>
  <c r="D13" i="2" s="1"/>
  <c r="C19" i="2"/>
  <c r="R13" i="2" l="1"/>
  <c r="N21" i="2" s="1"/>
  <c r="K19" i="2"/>
  <c r="O13" i="2"/>
  <c r="K21" i="2" s="1"/>
  <c r="Q13" i="2"/>
  <c r="M21" i="2" s="1"/>
  <c r="S13" i="2"/>
  <c r="O21" i="2" s="1"/>
  <c r="L19" i="2"/>
  <c r="P13" i="2"/>
  <c r="L21" i="2" s="1"/>
  <c r="C11" i="2"/>
  <c r="C14" i="2"/>
  <c r="B11" i="2"/>
  <c r="B14" i="2"/>
  <c r="C13" i="2"/>
</calcChain>
</file>

<file path=xl/sharedStrings.xml><?xml version="1.0" encoding="utf-8"?>
<sst xmlns="http://schemas.openxmlformats.org/spreadsheetml/2006/main" count="390" uniqueCount="217">
  <si>
    <t>School:</t>
  </si>
  <si>
    <t>Teacher:</t>
  </si>
  <si>
    <t>Grade:</t>
  </si>
  <si>
    <t>Grade 1</t>
  </si>
  <si>
    <t>School ID:</t>
  </si>
  <si>
    <t>Language:</t>
  </si>
  <si>
    <t>Task 1 
(10)</t>
  </si>
  <si>
    <t>Total Score</t>
  </si>
  <si>
    <t>Remarks</t>
  </si>
  <si>
    <t>S/N</t>
  </si>
  <si>
    <t>Name of Learner</t>
  </si>
  <si>
    <t>Date of Asessment</t>
  </si>
  <si>
    <t>Task 1 – Write the number of letters sounded out correctly</t>
  </si>
  <si>
    <t xml:space="preserve"> </t>
  </si>
  <si>
    <t>Hiligaynon</t>
  </si>
  <si>
    <t>Central Bikol</t>
  </si>
  <si>
    <t>Minasbate</t>
  </si>
  <si>
    <t>Rinconada</t>
  </si>
  <si>
    <t>Tagalog</t>
  </si>
  <si>
    <t>Section</t>
  </si>
  <si>
    <t>Section:</t>
  </si>
  <si>
    <t>Grade</t>
  </si>
  <si>
    <t>Language</t>
  </si>
  <si>
    <t>Number of Learners Enrolled</t>
  </si>
  <si>
    <t>Full Refresher</t>
  </si>
  <si>
    <t>Light Refresher</t>
  </si>
  <si>
    <t>Grade Ready</t>
  </si>
  <si>
    <t>Teacher</t>
  </si>
  <si>
    <t>SCHOOL ID :</t>
  </si>
  <si>
    <t>SCHOOL NAME:</t>
  </si>
  <si>
    <t>Number of Learners Assessed</t>
  </si>
  <si>
    <t>Sex</t>
  </si>
  <si>
    <t>Percent of Learners assessed</t>
  </si>
  <si>
    <t>Moderate Refresher</t>
  </si>
  <si>
    <t>LRN</t>
  </si>
  <si>
    <t xml:space="preserve">Region </t>
  </si>
  <si>
    <t>NCR</t>
  </si>
  <si>
    <t>Akeanon</t>
  </si>
  <si>
    <t>CAR</t>
  </si>
  <si>
    <t>Bahasa Sug</t>
  </si>
  <si>
    <t>Region I</t>
  </si>
  <si>
    <t>Region II</t>
  </si>
  <si>
    <t>Chavacano</t>
  </si>
  <si>
    <t>Region III</t>
  </si>
  <si>
    <t>Region IV-A</t>
  </si>
  <si>
    <t>Ibanag</t>
  </si>
  <si>
    <t xml:space="preserve">Region IV-B </t>
  </si>
  <si>
    <t>Ilocano</t>
  </si>
  <si>
    <t xml:space="preserve">Region V </t>
  </si>
  <si>
    <t>Inabaknon</t>
  </si>
  <si>
    <t>Region VI</t>
  </si>
  <si>
    <t>Ivatan</t>
  </si>
  <si>
    <t xml:space="preserve">Region VII </t>
  </si>
  <si>
    <t>Kapampangan</t>
  </si>
  <si>
    <t xml:space="preserve">Region VIII </t>
  </si>
  <si>
    <t>Region IX</t>
  </si>
  <si>
    <t>Magindanawn</t>
  </si>
  <si>
    <t xml:space="preserve">Region X </t>
  </si>
  <si>
    <t xml:space="preserve">Meranaw </t>
  </si>
  <si>
    <t xml:space="preserve">Region XI </t>
  </si>
  <si>
    <t xml:space="preserve">Region XII </t>
  </si>
  <si>
    <t>Miraya</t>
  </si>
  <si>
    <t xml:space="preserve">Region XIII </t>
  </si>
  <si>
    <t>Pangasinan</t>
  </si>
  <si>
    <t>BARMM</t>
  </si>
  <si>
    <t xml:space="preserve">Sambal </t>
  </si>
  <si>
    <t>Sinugbuanong Binisaya</t>
  </si>
  <si>
    <t>Southern Sorsoganon</t>
  </si>
  <si>
    <t>Surigaonon</t>
  </si>
  <si>
    <t>Waray</t>
  </si>
  <si>
    <t>Yakan</t>
  </si>
  <si>
    <t>Schoo Name:</t>
  </si>
  <si>
    <t>Bikol Libon</t>
  </si>
  <si>
    <t>Buhi-non</t>
  </si>
  <si>
    <t>Caluyanen</t>
  </si>
  <si>
    <t>Cuyonon</t>
  </si>
  <si>
    <t>Northern Catanduanes</t>
  </si>
  <si>
    <t>Southern Catanduanes</t>
  </si>
  <si>
    <t>Northern Sorsoganon</t>
  </si>
  <si>
    <t>West Albay Bikol</t>
  </si>
  <si>
    <t>Other MT</t>
  </si>
  <si>
    <t>Male</t>
  </si>
  <si>
    <t>Female</t>
  </si>
  <si>
    <t>Total</t>
  </si>
  <si>
    <t>Total Assessed :</t>
  </si>
  <si>
    <t>Assessment Part 1</t>
  </si>
  <si>
    <t>Total Enrolment</t>
  </si>
  <si>
    <t>Rhymes 
(Task 2) 
If task 1 score is 0 to 6</t>
  </si>
  <si>
    <t>Story Number</t>
  </si>
  <si>
    <t>Words Read</t>
  </si>
  <si>
    <t>Total Correct Answer</t>
  </si>
  <si>
    <t>Story Number 
1 or 2</t>
  </si>
  <si>
    <t>Part 1 Reading Level</t>
  </si>
  <si>
    <r>
      <t xml:space="preserve">Total 
</t>
    </r>
    <r>
      <rPr>
        <b/>
        <sz val="9"/>
        <color theme="1"/>
        <rFont val="Calibri"/>
        <family val="2"/>
        <scheme val="minor"/>
      </rPr>
      <t>Mins    Secs</t>
    </r>
  </si>
  <si>
    <t>WPM</t>
  </si>
  <si>
    <t>Number of Words per Minute (WPM)</t>
  </si>
  <si>
    <t>Reading</t>
  </si>
  <si>
    <t>0%</t>
  </si>
  <si>
    <t>&lt;50%</t>
  </si>
  <si>
    <t>50%</t>
  </si>
  <si>
    <t>&gt;50%</t>
  </si>
  <si>
    <t>100%</t>
  </si>
  <si>
    <t>Grade 2</t>
  </si>
  <si>
    <t>READING PROFILE</t>
  </si>
  <si>
    <t>Percent (%) of Learners at Each Proficiency Level</t>
  </si>
  <si>
    <t>Total Time Used in Reading 
(Max : 2 Mins)</t>
  </si>
  <si>
    <t>Sentences
(10)</t>
  </si>
  <si>
    <t>Number of words read within 2 mins</t>
  </si>
  <si>
    <t>FILIPINO</t>
  </si>
  <si>
    <t>Filipino</t>
  </si>
  <si>
    <t>GRADE 2 Assessment CLASS SUMMARY</t>
  </si>
  <si>
    <t>ASSESSMENT TYPE</t>
  </si>
  <si>
    <t>GRADE 2 Reading Assessment CLASS RECORD</t>
  </si>
  <si>
    <t>Assessment Part 1
(Word Recognition and Sentences Reading)</t>
  </si>
  <si>
    <t>Story 1</t>
  </si>
  <si>
    <t>Story 2</t>
  </si>
  <si>
    <t>Total Words per Story</t>
  </si>
  <si>
    <t>Hiliray-a (Kinaray-a Iloilo)</t>
  </si>
  <si>
    <t xml:space="preserve">Kinaray-a </t>
  </si>
  <si>
    <t>Grade Level</t>
  </si>
  <si>
    <t>Passage Title</t>
  </si>
  <si>
    <t>Number of Words</t>
  </si>
  <si>
    <t xml:space="preserve"> Story 2</t>
  </si>
  <si>
    <t>An Pagsaud</t>
  </si>
  <si>
    <t>An Sorpresa ni Nanay</t>
  </si>
  <si>
    <t>Isang Kakaibang Araw</t>
  </si>
  <si>
    <t>Ang Pagong at ang Kuheno</t>
  </si>
  <si>
    <t>MAY ESKWELA NA</t>
  </si>
  <si>
    <t xml:space="preserve">SA BARYO NI KALOY </t>
  </si>
  <si>
    <t>SI PLUTO</t>
  </si>
  <si>
    <t>SA KADLAGAN</t>
  </si>
  <si>
    <t>Total Reading Miscues</t>
  </si>
  <si>
    <t>Total Words Per Story</t>
  </si>
  <si>
    <t>Assessment Part 2
 (Reading Fluency and Comprehension)</t>
  </si>
  <si>
    <t>Number of Miscue</t>
  </si>
  <si>
    <t>% of Correct Words Read</t>
  </si>
  <si>
    <t>Observation Level</t>
  </si>
  <si>
    <t>Palda ni Perla</t>
  </si>
  <si>
    <t>Si Ana, Ang Batang Matinahuron</t>
  </si>
  <si>
    <t>Ang Damgo ni Marko</t>
  </si>
  <si>
    <t>Ang Sorpresa</t>
  </si>
  <si>
    <t xml:space="preserve">Naduea Ro Tubi </t>
  </si>
  <si>
    <t>Ro Magmaeanghud</t>
  </si>
  <si>
    <t>Ang Bata nga Parasipal kang Damang</t>
  </si>
  <si>
    <t>Ang Handum ni Lisa</t>
  </si>
  <si>
    <t>ANG BOLA NI GLENDA</t>
  </si>
  <si>
    <t>SI BIMBOY</t>
  </si>
  <si>
    <t>Leaner Experience
(Rating 1-5)</t>
  </si>
  <si>
    <t>Words
(10)</t>
  </si>
  <si>
    <t>Su Bayabas Nila Kamad</t>
  </si>
  <si>
    <t>Su Manga Bedung Ni Saida</t>
  </si>
  <si>
    <t>Level 2</t>
  </si>
  <si>
    <t>Level 4</t>
  </si>
  <si>
    <t>Level 3</t>
  </si>
  <si>
    <t>CRLA3v1</t>
  </si>
  <si>
    <t>Reading Level</t>
  </si>
  <si>
    <t>Criteria</t>
  </si>
  <si>
    <t>Observations Level</t>
  </si>
  <si>
    <t>Low Emerging Reader</t>
  </si>
  <si>
    <t>High Emerging Reader</t>
  </si>
  <si>
    <t>Level 1</t>
  </si>
  <si>
    <t>Reads word by word</t>
  </si>
  <si>
    <t>Developing Reader</t>
  </si>
  <si>
    <t>Reads word in chunks</t>
  </si>
  <si>
    <t>Transitioning Reader</t>
  </si>
  <si>
    <t>Reads fluently but not observing functuation marks</t>
  </si>
  <si>
    <t>Reading At Grade Level</t>
  </si>
  <si>
    <t>Reads fluently with proper expression</t>
  </si>
  <si>
    <t>Learner scores 0 to 10 in Assessment Part 1</t>
  </si>
  <si>
    <t>Learner reads less than 25% of the passage in 2 minutes and cannot answer any of the questions</t>
  </si>
  <si>
    <t>Learner reads between 26% to 50% of  passage accurately in 2 minutes  and answers 1 to 2 question correctly</t>
  </si>
  <si>
    <t>Learner reads between 51% to 75% of  passage accurately in 2 minutes  AND answers 3 to 4 questions correctly.</t>
  </si>
  <si>
    <t>Learner reads between 76% to 100% of  passage accurately in 2 minutes AND answers 5 to 6 questions correctly.</t>
  </si>
  <si>
    <t>Task 2L
Words 
(10)</t>
  </si>
  <si>
    <t>Task 2H
Sentences
(10)</t>
  </si>
  <si>
    <t>Sentence
 (Task 2) 
If task 1 score is 7 to 10
Task 2L=10</t>
  </si>
  <si>
    <t>Total Score = Task 1 Score + Task 2L+Task 2H Score</t>
  </si>
  <si>
    <r>
      <rPr>
        <b/>
        <sz val="9"/>
        <color theme="1"/>
        <rFont val="Calibri"/>
        <family val="2"/>
        <scheme val="minor"/>
      </rPr>
      <t xml:space="preserve">WORDS SCORE 
</t>
    </r>
    <r>
      <rPr>
        <sz val="9"/>
        <color theme="1"/>
        <rFont val="Calibri"/>
        <family val="2"/>
        <scheme val="minor"/>
      </rPr>
      <t xml:space="preserve">0 to 10 – Full Refresher
11 to 16 – Moderate Refresher
</t>
    </r>
    <r>
      <rPr>
        <b/>
        <sz val="9"/>
        <color theme="1"/>
        <rFont val="Calibri"/>
        <family val="2"/>
        <scheme val="minor"/>
      </rPr>
      <t xml:space="preserve">SENTENCE SCORE </t>
    </r>
    <r>
      <rPr>
        <sz val="9"/>
        <color theme="1"/>
        <rFont val="Calibri"/>
        <family val="2"/>
        <scheme val="minor"/>
      </rPr>
      <t xml:space="preserve">
17 to 26 – Light Refresher
27 to 30 – Grade Ready</t>
    </r>
  </si>
  <si>
    <t>WORDS SCORE 
0 to 10 – Full Refresher
11 to 16 – Moderate Refresher
SENTENCE SCORE 
17 to 26 – Light Refresher
27 to 30 – Grade Ready</t>
  </si>
  <si>
    <t>Assessment Part 1 Reading Level</t>
  </si>
  <si>
    <t>% of Total Score</t>
  </si>
  <si>
    <t>Reading Fluency</t>
  </si>
  <si>
    <t>Reading Comprehension</t>
  </si>
  <si>
    <t>Ave. WPM</t>
  </si>
  <si>
    <t>Assessment Part 2 Average Score</t>
  </si>
  <si>
    <t>Average Score</t>
  </si>
  <si>
    <t>Words Per Minute</t>
  </si>
  <si>
    <t>Assessment Part 2</t>
  </si>
  <si>
    <t>Average Word Per Minute</t>
  </si>
  <si>
    <t>CRLA2v1</t>
  </si>
  <si>
    <t>BoSY</t>
  </si>
  <si>
    <t>NELLIE E. BROWN E/S</t>
  </si>
  <si>
    <t>WISDOM</t>
  </si>
  <si>
    <t>Johnny Lee</t>
  </si>
  <si>
    <t>Nicolas Santos</t>
  </si>
  <si>
    <t>Luffy De Guzman</t>
  </si>
  <si>
    <t>Zoro Dalisay</t>
  </si>
  <si>
    <t>Usof Matapang</t>
  </si>
  <si>
    <t>Chopper Sama</t>
  </si>
  <si>
    <t>Justin Barber</t>
  </si>
  <si>
    <t>Alex Lopez</t>
  </si>
  <si>
    <t>Ethan Reyes</t>
  </si>
  <si>
    <t>Caleb Santos</t>
  </si>
  <si>
    <t>Noah Villanueva</t>
  </si>
  <si>
    <t>Daniel Navarro</t>
  </si>
  <si>
    <t>Xavier Ramos</t>
  </si>
  <si>
    <t>Sophia Garcia</t>
  </si>
  <si>
    <t>Isabella Torres</t>
  </si>
  <si>
    <t>Mia Fernandez</t>
  </si>
  <si>
    <t>Olivia Rivera</t>
  </si>
  <si>
    <t>Chloe Morales</t>
  </si>
  <si>
    <t>Gabriela Herrera</t>
  </si>
  <si>
    <t>Hannah Gutierrez</t>
  </si>
  <si>
    <t>Zoe Chavez</t>
  </si>
  <si>
    <t>Eliana Salazar</t>
  </si>
  <si>
    <t>Camille Vargas</t>
  </si>
  <si>
    <t>Aria Lozano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</si>
</sst>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8" x14ac:knownFonts="1">
    <font>
      <sz val="11"/>
      <color theme="1"/>
      <name val="Calibri"/>
      <family val="2"/>
      <scheme val="minor"/>
    </font>
    <font>
      <b/>
      <sz val="11"/>
      <color theme="1"/>
      <name val="Calibri"/>
      <family val="2"/>
      <scheme val="minor"/>
    </font>
    <font>
      <b/>
      <sz val="10"/>
      <color theme="1"/>
      <name val="Arial"/>
      <family val="2"/>
    </font>
    <font>
      <sz val="10"/>
      <name val="Arial"/>
      <family val="2"/>
    </font>
    <font>
      <sz val="10"/>
      <color theme="1"/>
      <name val="Arial"/>
      <family val="2"/>
    </font>
    <font>
      <sz val="10"/>
      <color theme="1"/>
      <name val="Calibri"/>
      <family val="2"/>
      <scheme val="minor"/>
    </font>
    <font>
      <b/>
      <sz val="9"/>
      <color theme="1"/>
      <name val="Arial"/>
      <family val="2"/>
    </font>
    <font>
      <sz val="8"/>
      <color theme="1"/>
      <name val="Arial"/>
      <family val="2"/>
    </font>
    <font>
      <sz val="9"/>
      <color theme="1"/>
      <name val="Arial"/>
      <family val="2"/>
    </font>
    <font>
      <b/>
      <sz val="12"/>
      <color theme="0"/>
      <name val="Arial"/>
      <family val="2"/>
    </font>
    <font>
      <b/>
      <sz val="10"/>
      <color theme="1"/>
      <name val="Calibri"/>
      <family val="2"/>
      <scheme val="minor"/>
    </font>
    <font>
      <sz val="11"/>
      <color theme="1"/>
      <name val="Calibri"/>
      <family val="2"/>
      <scheme val="minor"/>
    </font>
    <font>
      <b/>
      <sz val="9"/>
      <color theme="1"/>
      <name val="Calibri"/>
      <family val="2"/>
      <scheme val="minor"/>
    </font>
    <font>
      <sz val="9"/>
      <color theme="1"/>
      <name val="Calibri"/>
      <family val="2"/>
      <scheme val="minor"/>
    </font>
    <font>
      <b/>
      <sz val="10"/>
      <name val="Arial"/>
      <family val="2"/>
    </font>
    <font>
      <b/>
      <sz val="9"/>
      <name val="Arial"/>
      <family val="2"/>
    </font>
    <font>
      <sz val="8"/>
      <color theme="1"/>
      <name val="Calibri"/>
      <family val="2"/>
      <scheme val="minor"/>
    </font>
    <font>
      <b/>
      <sz val="11"/>
      <color theme="0"/>
      <name val="Calibri"/>
      <family val="2"/>
      <scheme val="minor"/>
    </font>
    <font>
      <sz val="18"/>
      <color theme="1"/>
      <name val="Calibri"/>
      <family val="2"/>
      <scheme val="minor"/>
    </font>
    <font>
      <b/>
      <sz val="14"/>
      <color theme="0"/>
      <name val="Arial"/>
      <family val="2"/>
    </font>
    <font>
      <sz val="11"/>
      <color rgb="FFFF0000"/>
      <name val="Calibri"/>
      <family val="2"/>
      <scheme val="minor"/>
    </font>
    <font>
      <b/>
      <sz val="8"/>
      <name val="Arial"/>
      <family val="2"/>
    </font>
    <font>
      <b/>
      <sz val="8"/>
      <color theme="1"/>
      <name val="Arial"/>
      <family val="2"/>
    </font>
    <font>
      <i/>
      <sz val="10"/>
      <name val="Arial"/>
      <family val="2"/>
    </font>
    <font>
      <i/>
      <sz val="10"/>
      <color theme="1"/>
      <name val="Arial"/>
      <family val="2"/>
    </font>
    <font>
      <sz val="11"/>
      <color theme="1"/>
      <name val="Arial"/>
      <family val="2"/>
    </font>
    <font>
      <b/>
      <i/>
      <sz val="8"/>
      <color theme="1"/>
      <name val="Arial"/>
      <family val="2"/>
    </font>
    <font>
      <b/>
      <sz val="12"/>
      <color theme="1"/>
      <name val="Calibri"/>
      <family val="2"/>
      <scheme val="minor"/>
    </font>
  </fonts>
  <fills count="16">
    <fill>
      <patternFill patternType="none"/>
    </fill>
    <fill>
      <patternFill patternType="gray125"/>
    </fill>
    <fill>
      <patternFill patternType="solid">
        <fgColor rgb="FFFFFFFF"/>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C000"/>
        <bgColor indexed="64"/>
      </patternFill>
    </fill>
    <fill>
      <patternFill patternType="solid">
        <fgColor theme="0"/>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4" tint="0.79998168889431442"/>
        <bgColor indexed="64"/>
      </patternFill>
    </fill>
  </fills>
  <borders count="5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top/>
      <bottom style="medium">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right/>
      <top/>
      <bottom style="thin">
        <color auto="1"/>
      </bottom>
      <diagonal/>
    </border>
    <border>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thin">
        <color auto="1"/>
      </top>
      <bottom/>
      <diagonal/>
    </border>
    <border>
      <left/>
      <right/>
      <top style="thin">
        <color auto="1"/>
      </top>
      <bottom style="thin">
        <color auto="1"/>
      </bottom>
      <diagonal/>
    </border>
    <border>
      <left style="thin">
        <color auto="1"/>
      </left>
      <right style="thin">
        <color auto="1"/>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medium">
        <color auto="1"/>
      </right>
      <top style="medium">
        <color auto="1"/>
      </top>
      <bottom/>
      <diagonal/>
    </border>
    <border>
      <left/>
      <right style="medium">
        <color auto="1"/>
      </right>
      <top/>
      <bottom/>
      <diagonal/>
    </border>
    <border>
      <left/>
      <right/>
      <top style="medium">
        <color auto="1"/>
      </top>
      <bottom/>
      <diagonal/>
    </border>
    <border>
      <left style="medium">
        <color auto="1"/>
      </left>
      <right style="thin">
        <color auto="1"/>
      </right>
      <top style="thin">
        <color auto="1"/>
      </top>
      <bottom/>
      <diagonal/>
    </border>
    <border>
      <left/>
      <right/>
      <top style="medium">
        <color auto="1"/>
      </top>
      <bottom style="medium">
        <color auto="1"/>
      </bottom>
      <diagonal/>
    </border>
    <border>
      <left style="thin">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medium">
        <color auto="1"/>
      </left>
      <right/>
      <top style="medium">
        <color auto="1"/>
      </top>
      <bottom style="thin">
        <color auto="1"/>
      </bottom>
      <diagonal/>
    </border>
    <border>
      <left style="medium">
        <color auto="1"/>
      </left>
      <right/>
      <top/>
      <bottom style="thin">
        <color auto="1"/>
      </bottom>
      <diagonal/>
    </border>
    <border>
      <left style="medium">
        <color auto="1"/>
      </left>
      <right/>
      <top style="thin">
        <color auto="1"/>
      </top>
      <bottom/>
      <diagonal/>
    </border>
    <border>
      <left/>
      <right style="thin">
        <color auto="1"/>
      </right>
      <top style="thin">
        <color auto="1"/>
      </top>
      <bottom style="medium">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style="thin">
        <color auto="1"/>
      </right>
      <top style="medium">
        <color auto="1"/>
      </top>
      <bottom style="medium">
        <color auto="1"/>
      </bottom>
      <diagonal/>
    </border>
    <border>
      <left style="medium">
        <color auto="1"/>
      </left>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s>
  <cellStyleXfs count="2">
    <xf numFmtId="0" fontId="0" fillId="0" borderId="0"/>
    <xf numFmtId="9" fontId="11" fillId="0" borderId="0" applyFont="0" applyFill="0" applyBorder="0" applyAlignment="0" applyProtection="0"/>
  </cellStyleXfs>
  <cellXfs count="379">
    <xf numFmtId="0" fontId="0" fillId="0" borderId="0" xfId="0"/>
    <xf numFmtId="0" fontId="0" fillId="0" borderId="0" xfId="0" applyAlignment="1">
      <alignment horizontal="center"/>
    </xf>
    <xf numFmtId="0" fontId="0" fillId="0" borderId="0" xfId="0" applyAlignment="1">
      <alignment horizontal="center" wrapText="1"/>
    </xf>
    <xf numFmtId="0" fontId="0" fillId="0" borderId="0" xfId="0" applyAlignment="1">
      <alignment horizontal="left"/>
    </xf>
    <xf numFmtId="0" fontId="0" fillId="4" borderId="8" xfId="0" applyFill="1" applyBorder="1"/>
    <xf numFmtId="0" fontId="0" fillId="0" borderId="8" xfId="0" applyBorder="1"/>
    <xf numFmtId="0" fontId="0" fillId="4" borderId="7" xfId="0" applyFill="1" applyBorder="1"/>
    <xf numFmtId="0" fontId="8" fillId="0" borderId="0" xfId="0" applyFont="1" applyAlignment="1">
      <alignment horizontal="center"/>
    </xf>
    <xf numFmtId="0" fontId="0" fillId="0" borderId="9" xfId="0" applyBorder="1"/>
    <xf numFmtId="0" fontId="0" fillId="9" borderId="0" xfId="0" applyFill="1"/>
    <xf numFmtId="0" fontId="0" fillId="10" borderId="0" xfId="0" applyFill="1"/>
    <xf numFmtId="0" fontId="0" fillId="11" borderId="0" xfId="0" applyFill="1"/>
    <xf numFmtId="0" fontId="0" fillId="0" borderId="12" xfId="0" applyBorder="1"/>
    <xf numFmtId="0" fontId="6" fillId="8" borderId="8" xfId="0" applyFont="1" applyFill="1" applyBorder="1" applyAlignment="1">
      <alignment horizontal="center" vertical="center" wrapText="1"/>
    </xf>
    <xf numFmtId="0" fontId="6" fillId="8" borderId="9" xfId="0" applyFont="1" applyFill="1" applyBorder="1" applyAlignment="1">
      <alignment horizontal="center" vertical="center"/>
    </xf>
    <xf numFmtId="0" fontId="6" fillId="8" borderId="9" xfId="0" applyFont="1" applyFill="1" applyBorder="1" applyAlignment="1">
      <alignment horizontal="center" vertical="center" wrapText="1"/>
    </xf>
    <xf numFmtId="0" fontId="6" fillId="8" borderId="9" xfId="0" applyFont="1" applyFill="1" applyBorder="1" applyAlignment="1">
      <alignment vertical="center"/>
    </xf>
    <xf numFmtId="0" fontId="10" fillId="3" borderId="1" xfId="0" applyFont="1" applyFill="1" applyBorder="1" applyAlignment="1">
      <alignment horizontal="center" vertical="center"/>
    </xf>
    <xf numFmtId="0" fontId="10" fillId="8" borderId="28" xfId="0" applyFont="1" applyFill="1" applyBorder="1" applyAlignment="1">
      <alignment horizontal="center" vertical="center"/>
    </xf>
    <xf numFmtId="0" fontId="10" fillId="8" borderId="29" xfId="0" applyFont="1" applyFill="1" applyBorder="1" applyAlignment="1">
      <alignment horizontal="center" vertical="center"/>
    </xf>
    <xf numFmtId="0" fontId="0" fillId="0" borderId="0" xfId="0" quotePrefix="1"/>
    <xf numFmtId="0" fontId="15" fillId="8" borderId="10" xfId="0" applyFont="1" applyFill="1" applyBorder="1" applyAlignment="1" applyProtection="1">
      <alignment horizontal="center" wrapText="1"/>
      <protection locked="0"/>
    </xf>
    <xf numFmtId="0" fontId="2" fillId="8" borderId="22" xfId="0" applyFont="1" applyFill="1" applyBorder="1" applyAlignment="1">
      <alignment horizontal="center" vertical="center" wrapText="1"/>
    </xf>
    <xf numFmtId="0" fontId="2" fillId="8" borderId="24" xfId="0" applyFont="1" applyFill="1" applyBorder="1" applyAlignment="1">
      <alignment horizontal="center" vertical="center" wrapText="1"/>
    </xf>
    <xf numFmtId="0" fontId="10" fillId="8" borderId="23" xfId="0" applyFont="1" applyFill="1" applyBorder="1" applyAlignment="1">
      <alignment horizontal="center" vertical="center"/>
    </xf>
    <xf numFmtId="0" fontId="10" fillId="8" borderId="24"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3" borderId="22"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10" fillId="3" borderId="24" xfId="0" applyFont="1" applyFill="1" applyBorder="1" applyAlignment="1">
      <alignment horizontal="center" vertical="center" wrapText="1"/>
    </xf>
    <xf numFmtId="0" fontId="0" fillId="0" borderId="10" xfId="0" applyBorder="1" applyAlignment="1" applyProtection="1">
      <alignment horizontal="center"/>
      <protection locked="0"/>
    </xf>
    <xf numFmtId="9" fontId="0" fillId="0" borderId="9" xfId="1" applyFont="1" applyBorder="1" applyAlignment="1">
      <alignment horizontal="center"/>
    </xf>
    <xf numFmtId="9" fontId="0" fillId="0" borderId="9" xfId="0" applyNumberFormat="1" applyBorder="1" applyAlignment="1">
      <alignment horizontal="center"/>
    </xf>
    <xf numFmtId="0" fontId="1" fillId="4" borderId="7" xfId="0" applyFont="1" applyFill="1" applyBorder="1"/>
    <xf numFmtId="0" fontId="1" fillId="0" borderId="5" xfId="0" applyFont="1" applyBorder="1"/>
    <xf numFmtId="9" fontId="1" fillId="4" borderId="5" xfId="0" applyNumberFormat="1" applyFont="1" applyFill="1" applyBorder="1" applyAlignment="1">
      <alignment horizontal="center"/>
    </xf>
    <xf numFmtId="9" fontId="0" fillId="10" borderId="9" xfId="1" applyFont="1" applyFill="1" applyBorder="1" applyAlignment="1">
      <alignment horizontal="center"/>
    </xf>
    <xf numFmtId="9" fontId="0" fillId="10" borderId="10" xfId="1" applyFont="1" applyFill="1" applyBorder="1" applyAlignment="1">
      <alignment horizontal="center"/>
    </xf>
    <xf numFmtId="9" fontId="0" fillId="10" borderId="9" xfId="0" applyNumberFormat="1" applyFill="1" applyBorder="1" applyAlignment="1">
      <alignment horizontal="center"/>
    </xf>
    <xf numFmtId="9" fontId="0" fillId="10" borderId="10" xfId="0" applyNumberFormat="1" applyFill="1" applyBorder="1" applyAlignment="1">
      <alignment horizontal="center"/>
    </xf>
    <xf numFmtId="9" fontId="1" fillId="10" borderId="5" xfId="0" applyNumberFormat="1" applyFont="1" applyFill="1" applyBorder="1" applyAlignment="1">
      <alignment horizontal="center"/>
    </xf>
    <xf numFmtId="9" fontId="1" fillId="10" borderId="6" xfId="0" applyNumberFormat="1" applyFont="1" applyFill="1" applyBorder="1" applyAlignment="1">
      <alignment horizontal="center"/>
    </xf>
    <xf numFmtId="0" fontId="10" fillId="3" borderId="23" xfId="0" applyFont="1" applyFill="1" applyBorder="1" applyAlignment="1">
      <alignment horizontal="center" vertical="center" wrapText="1"/>
    </xf>
    <xf numFmtId="0" fontId="0" fillId="0" borderId="8" xfId="0" applyBorder="1" applyAlignment="1">
      <alignment vertical="center"/>
    </xf>
    <xf numFmtId="0" fontId="0" fillId="4" borderId="8" xfId="0" applyFill="1" applyBorder="1" applyAlignment="1">
      <alignment vertical="center"/>
    </xf>
    <xf numFmtId="1" fontId="0" fillId="4" borderId="9" xfId="0" applyNumberFormat="1" applyFill="1" applyBorder="1" applyAlignment="1">
      <alignment horizontal="left" vertical="center"/>
    </xf>
    <xf numFmtId="0" fontId="0" fillId="4" borderId="9" xfId="0" applyFill="1" applyBorder="1" applyAlignment="1">
      <alignment vertical="center"/>
    </xf>
    <xf numFmtId="0" fontId="0" fillId="4" borderId="9" xfId="0" applyFill="1" applyBorder="1" applyAlignment="1">
      <alignment horizontal="center" vertical="center"/>
    </xf>
    <xf numFmtId="0" fontId="0" fillId="4" borderId="10" xfId="0" applyFill="1" applyBorder="1" applyAlignment="1">
      <alignment horizontal="left" vertical="center" wrapText="1"/>
    </xf>
    <xf numFmtId="1" fontId="0" fillId="0" borderId="9" xfId="0" applyNumberFormat="1" applyBorder="1" applyAlignment="1">
      <alignment horizontal="left" vertical="center"/>
    </xf>
    <xf numFmtId="0" fontId="0" fillId="0" borderId="9" xfId="0" applyBorder="1" applyAlignment="1">
      <alignment vertical="center"/>
    </xf>
    <xf numFmtId="0" fontId="0" fillId="0" borderId="9" xfId="0" applyBorder="1" applyAlignment="1">
      <alignment horizontal="center" vertical="center"/>
    </xf>
    <xf numFmtId="0" fontId="0" fillId="0" borderId="10" xfId="0" applyBorder="1" applyAlignment="1">
      <alignment horizontal="left" vertical="center" wrapText="1"/>
    </xf>
    <xf numFmtId="0" fontId="0" fillId="4" borderId="5" xfId="0" applyFill="1" applyBorder="1" applyAlignment="1">
      <alignment vertical="center"/>
    </xf>
    <xf numFmtId="0" fontId="0" fillId="4" borderId="5" xfId="0" applyFill="1" applyBorder="1" applyAlignment="1">
      <alignment horizontal="center" vertical="center"/>
    </xf>
    <xf numFmtId="0" fontId="0" fillId="4" borderId="6" xfId="0" applyFill="1" applyBorder="1" applyAlignment="1">
      <alignment horizontal="left" vertical="center" wrapText="1"/>
    </xf>
    <xf numFmtId="0" fontId="6" fillId="13" borderId="9" xfId="0" applyFont="1" applyFill="1" applyBorder="1" applyAlignment="1">
      <alignment horizontal="center" vertical="center"/>
    </xf>
    <xf numFmtId="1" fontId="0" fillId="13" borderId="9" xfId="0" applyNumberFormat="1" applyFill="1" applyBorder="1" applyAlignment="1">
      <alignment horizontal="center" vertical="center"/>
    </xf>
    <xf numFmtId="1" fontId="0" fillId="13" borderId="5" xfId="0" applyNumberFormat="1" applyFill="1" applyBorder="1" applyAlignment="1">
      <alignment horizontal="center" vertical="center"/>
    </xf>
    <xf numFmtId="0" fontId="10" fillId="3" borderId="29" xfId="0" applyFont="1" applyFill="1" applyBorder="1" applyAlignment="1">
      <alignment horizontal="center" vertical="center" wrapText="1"/>
    </xf>
    <xf numFmtId="0" fontId="14" fillId="8" borderId="4" xfId="0" applyFont="1" applyFill="1" applyBorder="1" applyAlignment="1" applyProtection="1">
      <alignment horizontal="center" wrapText="1"/>
      <protection locked="0"/>
    </xf>
    <xf numFmtId="0" fontId="9" fillId="5" borderId="34" xfId="0" applyFont="1" applyFill="1" applyBorder="1"/>
    <xf numFmtId="0" fontId="22" fillId="6" borderId="31" xfId="0" applyFont="1" applyFill="1" applyBorder="1" applyAlignment="1">
      <alignment horizontal="center" wrapText="1"/>
    </xf>
    <xf numFmtId="0" fontId="0" fillId="0" borderId="13" xfId="0" applyBorder="1" applyProtection="1">
      <protection locked="0"/>
    </xf>
    <xf numFmtId="0" fontId="0" fillId="0" borderId="13" xfId="0" applyBorder="1" applyAlignment="1" applyProtection="1">
      <alignment horizontal="center"/>
      <protection locked="0"/>
    </xf>
    <xf numFmtId="164" fontId="0" fillId="0" borderId="14" xfId="0" applyNumberFormat="1" applyBorder="1" applyAlignment="1" applyProtection="1">
      <alignment horizontal="center"/>
      <protection locked="0"/>
    </xf>
    <xf numFmtId="0" fontId="0" fillId="0" borderId="12" xfId="0" applyBorder="1" applyAlignment="1" applyProtection="1">
      <alignment horizontal="center" wrapText="1"/>
      <protection locked="0"/>
    </xf>
    <xf numFmtId="0" fontId="0" fillId="0" borderId="13" xfId="0" applyBorder="1" applyAlignment="1" applyProtection="1">
      <alignment horizontal="center" wrapText="1"/>
      <protection locked="0"/>
    </xf>
    <xf numFmtId="1" fontId="0" fillId="4" borderId="13" xfId="0" applyNumberFormat="1" applyFill="1" applyBorder="1" applyAlignment="1">
      <alignment horizontal="center"/>
    </xf>
    <xf numFmtId="1" fontId="0" fillId="4" borderId="14" xfId="0" applyNumberFormat="1" applyFill="1" applyBorder="1" applyAlignment="1">
      <alignment horizontal="center"/>
    </xf>
    <xf numFmtId="1" fontId="0" fillId="0" borderId="12" xfId="0" applyNumberFormat="1" applyBorder="1" applyAlignment="1" applyProtection="1">
      <alignment horizontal="center"/>
      <protection locked="0"/>
    </xf>
    <xf numFmtId="1" fontId="0" fillId="0" borderId="21" xfId="0" applyNumberFormat="1" applyBorder="1" applyAlignment="1" applyProtection="1">
      <alignment horizontal="center"/>
      <protection locked="0"/>
    </xf>
    <xf numFmtId="1" fontId="0" fillId="0" borderId="13" xfId="0" applyNumberFormat="1" applyBorder="1" applyAlignment="1" applyProtection="1">
      <alignment horizontal="center"/>
      <protection locked="0"/>
    </xf>
    <xf numFmtId="1" fontId="0" fillId="0" borderId="14" xfId="0" applyNumberFormat="1" applyBorder="1" applyAlignment="1" applyProtection="1">
      <alignment horizontal="center"/>
      <protection locked="0"/>
    </xf>
    <xf numFmtId="1" fontId="0" fillId="4" borderId="21" xfId="0" applyNumberFormat="1" applyFill="1" applyBorder="1" applyAlignment="1">
      <alignment horizontal="center"/>
    </xf>
    <xf numFmtId="1" fontId="0" fillId="0" borderId="14" xfId="0" applyNumberFormat="1" applyBorder="1" applyProtection="1">
      <protection locked="0"/>
    </xf>
    <xf numFmtId="0" fontId="0" fillId="4" borderId="9" xfId="0" applyFill="1" applyBorder="1" applyProtection="1">
      <protection locked="0"/>
    </xf>
    <xf numFmtId="0" fontId="0" fillId="4" borderId="9" xfId="0" applyFill="1" applyBorder="1" applyAlignment="1" applyProtection="1">
      <alignment horizontal="center"/>
      <protection locked="0"/>
    </xf>
    <xf numFmtId="164" fontId="0" fillId="4" borderId="10" xfId="0" applyNumberFormat="1" applyFill="1" applyBorder="1" applyAlignment="1" applyProtection="1">
      <alignment horizontal="center"/>
      <protection locked="0"/>
    </xf>
    <xf numFmtId="0" fontId="25" fillId="4" borderId="8" xfId="0" applyFont="1" applyFill="1" applyBorder="1" applyAlignment="1" applyProtection="1">
      <alignment horizontal="center" vertical="top" wrapText="1"/>
      <protection locked="0"/>
    </xf>
    <xf numFmtId="0" fontId="0" fillId="4" borderId="9" xfId="0" applyFill="1" applyBorder="1" applyAlignment="1" applyProtection="1">
      <alignment horizontal="center" wrapText="1"/>
      <protection locked="0"/>
    </xf>
    <xf numFmtId="1" fontId="0" fillId="4" borderId="9" xfId="0" applyNumberFormat="1" applyFill="1" applyBorder="1" applyAlignment="1">
      <alignment horizontal="center"/>
    </xf>
    <xf numFmtId="1" fontId="0" fillId="4" borderId="10" xfId="0" applyNumberFormat="1" applyFill="1" applyBorder="1" applyAlignment="1">
      <alignment horizontal="center"/>
    </xf>
    <xf numFmtId="1" fontId="0" fillId="4" borderId="8" xfId="0" applyNumberFormat="1" applyFill="1" applyBorder="1" applyAlignment="1" applyProtection="1">
      <alignment horizontal="center"/>
      <protection locked="0"/>
    </xf>
    <xf numFmtId="1" fontId="0" fillId="4" borderId="16" xfId="0" applyNumberFormat="1" applyFill="1" applyBorder="1" applyAlignment="1" applyProtection="1">
      <alignment horizontal="center"/>
      <protection locked="0"/>
    </xf>
    <xf numFmtId="1" fontId="0" fillId="4" borderId="9" xfId="0" applyNumberFormat="1" applyFill="1" applyBorder="1" applyAlignment="1" applyProtection="1">
      <alignment horizontal="center"/>
      <protection locked="0"/>
    </xf>
    <xf numFmtId="1" fontId="0" fillId="4" borderId="10" xfId="0" applyNumberFormat="1" applyFill="1" applyBorder="1" applyAlignment="1" applyProtection="1">
      <alignment horizontal="center"/>
      <protection locked="0"/>
    </xf>
    <xf numFmtId="1" fontId="0" fillId="4" borderId="16" xfId="0" applyNumberFormat="1" applyFill="1" applyBorder="1" applyAlignment="1">
      <alignment horizontal="center"/>
    </xf>
    <xf numFmtId="1" fontId="0" fillId="4" borderId="10" xfId="0" applyNumberFormat="1" applyFill="1" applyBorder="1" applyProtection="1">
      <protection locked="0"/>
    </xf>
    <xf numFmtId="0" fontId="0" fillId="0" borderId="9" xfId="0" applyBorder="1" applyProtection="1">
      <protection locked="0"/>
    </xf>
    <xf numFmtId="0" fontId="0" fillId="0" borderId="9" xfId="0" applyBorder="1" applyAlignment="1" applyProtection="1">
      <alignment horizontal="center"/>
      <protection locked="0"/>
    </xf>
    <xf numFmtId="164" fontId="0" fillId="0" borderId="10" xfId="0" applyNumberFormat="1" applyBorder="1" applyAlignment="1" applyProtection="1">
      <alignment horizontal="center"/>
      <protection locked="0"/>
    </xf>
    <xf numFmtId="0" fontId="25" fillId="2" borderId="8" xfId="0" applyFont="1" applyFill="1" applyBorder="1" applyAlignment="1" applyProtection="1">
      <alignment horizontal="center" vertical="top" wrapText="1"/>
      <protection locked="0"/>
    </xf>
    <xf numFmtId="1" fontId="0" fillId="0" borderId="9" xfId="0" applyNumberFormat="1" applyBorder="1" applyAlignment="1" applyProtection="1">
      <alignment horizontal="center"/>
      <protection locked="0"/>
    </xf>
    <xf numFmtId="1" fontId="0" fillId="0" borderId="8" xfId="0" applyNumberFormat="1" applyBorder="1" applyAlignment="1" applyProtection="1">
      <alignment horizontal="center"/>
      <protection locked="0"/>
    </xf>
    <xf numFmtId="1" fontId="0" fillId="0" borderId="16"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1" fontId="0" fillId="0" borderId="10" xfId="0" applyNumberFormat="1" applyBorder="1" applyProtection="1">
      <protection locked="0"/>
    </xf>
    <xf numFmtId="0" fontId="0" fillId="0" borderId="5" xfId="0" applyBorder="1" applyProtection="1">
      <protection locked="0"/>
    </xf>
    <xf numFmtId="0" fontId="0" fillId="0" borderId="5" xfId="0" applyBorder="1" applyAlignment="1" applyProtection="1">
      <alignment horizontal="center"/>
      <protection locked="0"/>
    </xf>
    <xf numFmtId="164" fontId="0" fillId="0" borderId="6" xfId="0" applyNumberFormat="1" applyBorder="1" applyAlignment="1" applyProtection="1">
      <alignment horizontal="center"/>
      <protection locked="0"/>
    </xf>
    <xf numFmtId="0" fontId="25" fillId="0" borderId="7" xfId="0" applyFont="1" applyBorder="1" applyAlignment="1" applyProtection="1">
      <alignment horizontal="center" vertical="top" wrapText="1"/>
      <protection locked="0"/>
    </xf>
    <xf numFmtId="0" fontId="0" fillId="4" borderId="5" xfId="0" applyFill="1" applyBorder="1" applyAlignment="1" applyProtection="1">
      <alignment horizontal="center" wrapText="1"/>
      <protection locked="0"/>
    </xf>
    <xf numFmtId="1" fontId="0" fillId="4" borderId="5" xfId="0" applyNumberFormat="1" applyFill="1" applyBorder="1" applyAlignment="1" applyProtection="1">
      <alignment horizontal="center"/>
      <protection locked="0"/>
    </xf>
    <xf numFmtId="1" fontId="0" fillId="4" borderId="5" xfId="0" applyNumberFormat="1" applyFill="1" applyBorder="1" applyAlignment="1">
      <alignment horizontal="center"/>
    </xf>
    <xf numFmtId="1" fontId="0" fillId="4" borderId="6" xfId="0" applyNumberFormat="1" applyFill="1" applyBorder="1" applyAlignment="1">
      <alignment horizontal="center"/>
    </xf>
    <xf numFmtId="1" fontId="0" fillId="4" borderId="7" xfId="0" applyNumberFormat="1" applyFill="1" applyBorder="1" applyAlignment="1" applyProtection="1">
      <alignment horizontal="center"/>
      <protection locked="0"/>
    </xf>
    <xf numFmtId="1" fontId="0" fillId="4" borderId="42" xfId="0" applyNumberFormat="1" applyFill="1" applyBorder="1" applyAlignment="1" applyProtection="1">
      <alignment horizontal="center"/>
      <protection locked="0"/>
    </xf>
    <xf numFmtId="1" fontId="0" fillId="4" borderId="6" xfId="0" applyNumberFormat="1" applyFill="1" applyBorder="1" applyAlignment="1" applyProtection="1">
      <alignment horizontal="center"/>
      <protection locked="0"/>
    </xf>
    <xf numFmtId="1" fontId="0" fillId="4" borderId="42" xfId="0" applyNumberFormat="1" applyFill="1" applyBorder="1" applyAlignment="1">
      <alignment horizontal="center"/>
    </xf>
    <xf numFmtId="1" fontId="0" fillId="4" borderId="6" xfId="0" applyNumberFormat="1" applyFill="1" applyBorder="1" applyProtection="1">
      <protection locked="0"/>
    </xf>
    <xf numFmtId="0" fontId="20" fillId="12" borderId="0" xfId="0" applyFont="1" applyFill="1"/>
    <xf numFmtId="0" fontId="9" fillId="5" borderId="32" xfId="0" applyFont="1" applyFill="1" applyBorder="1"/>
    <xf numFmtId="0" fontId="9" fillId="5" borderId="30" xfId="0" applyFont="1" applyFill="1" applyBorder="1"/>
    <xf numFmtId="0" fontId="9" fillId="5" borderId="0" xfId="0" applyFont="1" applyFill="1"/>
    <xf numFmtId="0" fontId="9" fillId="5" borderId="31" xfId="0" applyFont="1" applyFill="1" applyBorder="1"/>
    <xf numFmtId="0" fontId="12" fillId="3" borderId="45" xfId="0" applyFont="1" applyFill="1" applyBorder="1" applyAlignment="1">
      <alignment horizontal="center" vertical="center" wrapText="1"/>
    </xf>
    <xf numFmtId="0" fontId="4" fillId="7" borderId="9" xfId="0" applyFont="1" applyFill="1" applyBorder="1" applyAlignment="1">
      <alignment horizontal="center" vertical="center" wrapText="1"/>
    </xf>
    <xf numFmtId="1" fontId="0" fillId="7" borderId="9" xfId="0" applyNumberFormat="1" applyFill="1" applyBorder="1" applyAlignment="1">
      <alignment horizontal="center"/>
    </xf>
    <xf numFmtId="1" fontId="0" fillId="7" borderId="5" xfId="0" applyNumberFormat="1" applyFill="1" applyBorder="1" applyAlignment="1">
      <alignment horizontal="center"/>
    </xf>
    <xf numFmtId="1" fontId="0" fillId="7" borderId="13" xfId="0" applyNumberFormat="1" applyFill="1" applyBorder="1" applyAlignment="1">
      <alignment horizontal="center"/>
    </xf>
    <xf numFmtId="9" fontId="0" fillId="7" borderId="13" xfId="0" applyNumberFormat="1" applyFill="1" applyBorder="1" applyAlignment="1">
      <alignment horizontal="center"/>
    </xf>
    <xf numFmtId="9" fontId="0" fillId="7" borderId="9" xfId="0" applyNumberFormat="1" applyFill="1" applyBorder="1" applyAlignment="1">
      <alignment horizontal="center"/>
    </xf>
    <xf numFmtId="9" fontId="0" fillId="7" borderId="5" xfId="0" applyNumberFormat="1" applyFill="1" applyBorder="1" applyAlignment="1">
      <alignment horizontal="center"/>
    </xf>
    <xf numFmtId="0" fontId="14" fillId="7" borderId="2" xfId="0" applyFont="1" applyFill="1" applyBorder="1" applyAlignment="1">
      <alignment horizontal="center" wrapText="1"/>
    </xf>
    <xf numFmtId="0" fontId="2" fillId="7" borderId="3" xfId="0" applyFont="1" applyFill="1" applyBorder="1" applyAlignment="1" applyProtection="1">
      <alignment horizontal="center" vertical="center" wrapText="1"/>
      <protection hidden="1"/>
    </xf>
    <xf numFmtId="0" fontId="22" fillId="8" borderId="8" xfId="0" applyFont="1" applyFill="1" applyBorder="1" applyAlignment="1">
      <alignment horizontal="center" vertical="center" wrapText="1"/>
    </xf>
    <xf numFmtId="0" fontId="26" fillId="8" borderId="9" xfId="0" applyFont="1" applyFill="1" applyBorder="1" applyAlignment="1">
      <alignment horizontal="center" vertical="center" wrapText="1"/>
    </xf>
    <xf numFmtId="0" fontId="0" fillId="8" borderId="10" xfId="0" applyFill="1" applyBorder="1" applyAlignment="1">
      <alignment horizontal="center"/>
    </xf>
    <xf numFmtId="0" fontId="24" fillId="0" borderId="6" xfId="0" applyFont="1" applyBorder="1" applyAlignment="1">
      <alignment horizontal="center" wrapText="1"/>
    </xf>
    <xf numFmtId="0" fontId="10" fillId="8" borderId="22" xfId="0" applyFont="1" applyFill="1" applyBorder="1" applyAlignment="1">
      <alignment horizontal="center" vertical="center" wrapText="1"/>
    </xf>
    <xf numFmtId="1" fontId="0" fillId="7" borderId="13" xfId="0" applyNumberFormat="1" applyFill="1" applyBorder="1" applyAlignment="1">
      <alignment horizontal="left"/>
    </xf>
    <xf numFmtId="164" fontId="0" fillId="7" borderId="14" xfId="0" applyNumberFormat="1" applyFill="1" applyBorder="1" applyAlignment="1">
      <alignment horizontal="center"/>
    </xf>
    <xf numFmtId="0" fontId="0" fillId="7" borderId="9" xfId="0" applyFill="1" applyBorder="1"/>
    <xf numFmtId="0" fontId="0" fillId="7" borderId="9" xfId="0" applyFill="1" applyBorder="1" applyAlignment="1">
      <alignment horizontal="center"/>
    </xf>
    <xf numFmtId="164" fontId="0" fillId="7" borderId="10" xfId="0" applyNumberFormat="1" applyFill="1" applyBorder="1" applyAlignment="1">
      <alignment horizontal="center"/>
    </xf>
    <xf numFmtId="0" fontId="0" fillId="7" borderId="5" xfId="0" applyFill="1" applyBorder="1"/>
    <xf numFmtId="0" fontId="0" fillId="7" borderId="5" xfId="0" applyFill="1" applyBorder="1" applyAlignment="1">
      <alignment horizontal="center"/>
    </xf>
    <xf numFmtId="164" fontId="0" fillId="7" borderId="6" xfId="0" applyNumberFormat="1" applyFill="1" applyBorder="1" applyAlignment="1">
      <alignment horizontal="center"/>
    </xf>
    <xf numFmtId="0" fontId="15" fillId="6" borderId="10" xfId="0" applyFont="1" applyFill="1" applyBorder="1" applyAlignment="1">
      <alignment horizontal="center" wrapText="1"/>
    </xf>
    <xf numFmtId="0" fontId="18" fillId="7" borderId="1" xfId="0" applyFont="1" applyFill="1" applyBorder="1" applyAlignment="1">
      <alignment vertical="center"/>
    </xf>
    <xf numFmtId="0" fontId="22" fillId="6" borderId="10" xfId="0" applyFont="1" applyFill="1" applyBorder="1" applyAlignment="1">
      <alignment horizontal="center" wrapText="1"/>
    </xf>
    <xf numFmtId="0" fontId="15" fillId="6" borderId="16" xfId="0" applyFont="1" applyFill="1" applyBorder="1" applyAlignment="1">
      <alignment horizontal="center" wrapText="1"/>
    </xf>
    <xf numFmtId="0" fontId="0" fillId="8" borderId="16" xfId="0" applyFill="1" applyBorder="1" applyAlignment="1">
      <alignment horizontal="center"/>
    </xf>
    <xf numFmtId="0" fontId="21" fillId="6" borderId="16" xfId="0" applyFont="1" applyFill="1" applyBorder="1" applyAlignment="1">
      <alignment horizontal="center" wrapText="1"/>
    </xf>
    <xf numFmtId="0" fontId="23" fillId="0" borderId="42" xfId="0" applyFont="1" applyBorder="1" applyAlignment="1">
      <alignment horizontal="center" wrapText="1"/>
    </xf>
    <xf numFmtId="0" fontId="25" fillId="7" borderId="3" xfId="0" applyFont="1" applyFill="1" applyBorder="1" applyAlignment="1">
      <alignment horizontal="left"/>
    </xf>
    <xf numFmtId="0" fontId="3" fillId="7" borderId="9" xfId="0" applyFont="1" applyFill="1" applyBorder="1" applyAlignment="1">
      <alignment horizontal="left" wrapText="1"/>
    </xf>
    <xf numFmtId="0" fontId="4" fillId="7" borderId="5" xfId="0" applyFont="1" applyFill="1" applyBorder="1" applyAlignment="1">
      <alignment horizontal="left"/>
    </xf>
    <xf numFmtId="0" fontId="14" fillId="8" borderId="51" xfId="0" applyFont="1" applyFill="1" applyBorder="1" applyAlignment="1" applyProtection="1">
      <alignment horizontal="center" wrapText="1"/>
      <protection locked="0"/>
    </xf>
    <xf numFmtId="0" fontId="15" fillId="8" borderId="16" xfId="0" applyFont="1" applyFill="1" applyBorder="1" applyAlignment="1" applyProtection="1">
      <alignment horizontal="center" wrapText="1"/>
      <protection locked="0"/>
    </xf>
    <xf numFmtId="0" fontId="0" fillId="0" borderId="16" xfId="0" applyBorder="1" applyAlignment="1" applyProtection="1">
      <alignment horizontal="center"/>
      <protection locked="0"/>
    </xf>
    <xf numFmtId="0" fontId="21" fillId="6" borderId="0" xfId="0" applyFont="1" applyFill="1" applyAlignment="1">
      <alignment horizontal="center" wrapText="1"/>
    </xf>
    <xf numFmtId="0" fontId="18" fillId="0" borderId="52" xfId="0" applyFont="1" applyBorder="1" applyAlignment="1" applyProtection="1">
      <alignment vertical="center"/>
      <protection locked="0"/>
    </xf>
    <xf numFmtId="0" fontId="0" fillId="0" borderId="53" xfId="0" applyBorder="1" applyAlignment="1" applyProtection="1">
      <alignment horizontal="left" vertical="center"/>
      <protection locked="0"/>
    </xf>
    <xf numFmtId="0" fontId="3" fillId="0" borderId="53" xfId="0" applyFont="1" applyBorder="1" applyAlignment="1" applyProtection="1">
      <alignment vertical="center" wrapText="1"/>
      <protection locked="0"/>
    </xf>
    <xf numFmtId="0" fontId="3" fillId="7" borderId="53" xfId="0" applyFont="1" applyFill="1" applyBorder="1" applyAlignment="1">
      <alignment vertical="center" wrapText="1"/>
    </xf>
    <xf numFmtId="0" fontId="0" fillId="0" borderId="0" xfId="0" applyAlignment="1" applyProtection="1">
      <alignment horizontal="center" vertical="center"/>
      <protection hidden="1"/>
    </xf>
    <xf numFmtId="0" fontId="5" fillId="0" borderId="0" xfId="0" applyFont="1" applyAlignment="1" applyProtection="1">
      <alignment vertical="center"/>
      <protection hidden="1"/>
    </xf>
    <xf numFmtId="0" fontId="5" fillId="0" borderId="0" xfId="0" applyFont="1" applyAlignment="1" applyProtection="1">
      <alignment horizontal="center" vertical="center"/>
      <protection hidden="1"/>
    </xf>
    <xf numFmtId="0" fontId="5"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0" fillId="0" borderId="2" xfId="0" applyFont="1" applyBorder="1" applyAlignment="1" applyProtection="1">
      <alignment vertical="center"/>
      <protection hidden="1"/>
    </xf>
    <xf numFmtId="0" fontId="10" fillId="0" borderId="3" xfId="0" applyFont="1" applyBorder="1" applyAlignment="1" applyProtection="1">
      <alignment vertical="center"/>
      <protection hidden="1"/>
    </xf>
    <xf numFmtId="0" fontId="10" fillId="0" borderId="3" xfId="0" applyFont="1" applyBorder="1" applyAlignment="1" applyProtection="1">
      <alignment horizontal="center" vertical="center"/>
      <protection hidden="1"/>
    </xf>
    <xf numFmtId="0" fontId="10" fillId="0" borderId="3" xfId="0" applyFont="1" applyBorder="1" applyAlignment="1" applyProtection="1">
      <alignment horizontal="center" vertical="center" wrapText="1"/>
      <protection hidden="1"/>
    </xf>
    <xf numFmtId="0" fontId="1" fillId="0" borderId="3" xfId="0" applyFont="1" applyBorder="1" applyAlignment="1" applyProtection="1">
      <alignment horizontal="center" vertical="center" wrapText="1"/>
      <protection hidden="1"/>
    </xf>
    <xf numFmtId="0" fontId="1" fillId="0" borderId="3" xfId="0" applyFont="1" applyBorder="1" applyAlignment="1" applyProtection="1">
      <alignment horizontal="center" vertical="center"/>
      <protection hidden="1"/>
    </xf>
    <xf numFmtId="0" fontId="1" fillId="10" borderId="3" xfId="0" applyFont="1" applyFill="1" applyBorder="1" applyAlignment="1" applyProtection="1">
      <alignment horizontal="center" vertical="center"/>
      <protection hidden="1"/>
    </xf>
    <xf numFmtId="0" fontId="10" fillId="0" borderId="7" xfId="0" applyFont="1" applyBorder="1" applyAlignment="1" applyProtection="1">
      <alignment vertical="center"/>
      <protection hidden="1"/>
    </xf>
    <xf numFmtId="0" fontId="10" fillId="0" borderId="5" xfId="0" applyFont="1" applyBorder="1" applyAlignment="1" applyProtection="1">
      <alignment vertical="center"/>
      <protection hidden="1"/>
    </xf>
    <xf numFmtId="0" fontId="10" fillId="0" borderId="5" xfId="0" applyFont="1" applyBorder="1" applyAlignment="1" applyProtection="1">
      <alignment horizontal="center" vertical="center"/>
      <protection hidden="1"/>
    </xf>
    <xf numFmtId="0" fontId="10" fillId="0" borderId="5" xfId="0" applyFont="1" applyBorder="1" applyAlignment="1" applyProtection="1">
      <alignment horizontal="center" vertical="center" wrapText="1"/>
      <protection hidden="1"/>
    </xf>
    <xf numFmtId="0" fontId="1" fillId="0" borderId="5" xfId="0" applyFont="1" applyBorder="1" applyAlignment="1" applyProtection="1">
      <alignment horizontal="center" vertical="center" wrapText="1"/>
      <protection hidden="1"/>
    </xf>
    <xf numFmtId="0" fontId="1" fillId="0" borderId="5" xfId="0" applyFont="1" applyBorder="1" applyAlignment="1" applyProtection="1">
      <alignment horizontal="center" vertical="center"/>
      <protection hidden="1"/>
    </xf>
    <xf numFmtId="0" fontId="1" fillId="10" borderId="5" xfId="0" applyFont="1" applyFill="1" applyBorder="1" applyAlignment="1" applyProtection="1">
      <alignment horizontal="center" vertical="center"/>
      <protection hidden="1"/>
    </xf>
    <xf numFmtId="0" fontId="5" fillId="0" borderId="8" xfId="0" applyFont="1" applyBorder="1" applyAlignment="1" applyProtection="1">
      <alignment vertical="center"/>
      <protection hidden="1"/>
    </xf>
    <xf numFmtId="0" fontId="5" fillId="0" borderId="9" xfId="0" applyFont="1" applyBorder="1" applyAlignment="1" applyProtection="1">
      <alignment vertical="center"/>
      <protection hidden="1"/>
    </xf>
    <xf numFmtId="0" fontId="5" fillId="0" borderId="9" xfId="0" applyFont="1" applyBorder="1" applyAlignment="1" applyProtection="1">
      <alignment horizontal="center" vertical="center"/>
      <protection hidden="1"/>
    </xf>
    <xf numFmtId="0" fontId="5" fillId="0" borderId="9" xfId="0" applyFont="1" applyBorder="1" applyAlignment="1" applyProtection="1">
      <alignment horizontal="center" vertical="center" wrapText="1"/>
      <protection hidden="1"/>
    </xf>
    <xf numFmtId="0" fontId="0" fillId="0" borderId="9" xfId="0" applyBorder="1" applyAlignment="1" applyProtection="1">
      <alignment horizontal="center" vertical="center"/>
      <protection hidden="1"/>
    </xf>
    <xf numFmtId="0" fontId="0" fillId="10" borderId="9" xfId="0" applyFill="1" applyBorder="1" applyAlignment="1" applyProtection="1">
      <alignment horizontal="center" vertical="center"/>
      <protection hidden="1"/>
    </xf>
    <xf numFmtId="0" fontId="0" fillId="0" borderId="9" xfId="0" applyBorder="1" applyAlignment="1" applyProtection="1">
      <alignment horizontal="center" vertical="center" wrapText="1"/>
      <protection hidden="1"/>
    </xf>
    <xf numFmtId="0" fontId="5" fillId="0" borderId="7" xfId="0" applyFont="1" applyBorder="1" applyAlignment="1" applyProtection="1">
      <alignment vertical="center"/>
      <protection hidden="1"/>
    </xf>
    <xf numFmtId="0" fontId="5" fillId="0" borderId="5" xfId="0" applyFont="1" applyBorder="1" applyAlignment="1" applyProtection="1">
      <alignment vertical="center"/>
      <protection hidden="1"/>
    </xf>
    <xf numFmtId="0" fontId="5" fillId="0" borderId="5" xfId="0" applyFont="1" applyBorder="1" applyAlignment="1" applyProtection="1">
      <alignment horizontal="center" vertical="center"/>
      <protection hidden="1"/>
    </xf>
    <xf numFmtId="0" fontId="5" fillId="0" borderId="5" xfId="0" applyFont="1" applyBorder="1" applyAlignment="1" applyProtection="1">
      <alignment horizontal="center" vertical="center" wrapText="1"/>
      <protection hidden="1"/>
    </xf>
    <xf numFmtId="0" fontId="0" fillId="0" borderId="5" xfId="0" applyBorder="1" applyAlignment="1" applyProtection="1">
      <alignment horizontal="center" vertical="center" wrapText="1"/>
      <protection hidden="1"/>
    </xf>
    <xf numFmtId="0" fontId="0" fillId="0" borderId="5" xfId="0" applyBorder="1" applyAlignment="1" applyProtection="1">
      <alignment horizontal="center" vertical="center"/>
      <protection hidden="1"/>
    </xf>
    <xf numFmtId="0" fontId="0" fillId="10" borderId="5" xfId="0" applyFill="1" applyBorder="1" applyAlignment="1" applyProtection="1">
      <alignment horizontal="center" vertical="center"/>
      <protection hidden="1"/>
    </xf>
    <xf numFmtId="0" fontId="3" fillId="0" borderId="42" xfId="0" applyFont="1" applyBorder="1" applyAlignment="1" applyProtection="1">
      <alignment horizontal="center" wrapText="1"/>
      <protection locked="0"/>
    </xf>
    <xf numFmtId="0" fontId="4" fillId="0" borderId="6" xfId="0" applyFont="1" applyBorder="1" applyAlignment="1" applyProtection="1">
      <alignment horizontal="center" wrapText="1"/>
      <protection locked="0"/>
    </xf>
    <xf numFmtId="1" fontId="0" fillId="0" borderId="5" xfId="0" applyNumberFormat="1" applyBorder="1" applyAlignment="1" applyProtection="1">
      <alignment horizontal="center"/>
      <protection locked="0"/>
    </xf>
    <xf numFmtId="0" fontId="12" fillId="7" borderId="9" xfId="0" applyFont="1" applyFill="1" applyBorder="1" applyAlignment="1" applyProtection="1">
      <alignment horizontal="center" vertical="center" wrapText="1"/>
      <protection hidden="1"/>
    </xf>
    <xf numFmtId="0" fontId="27" fillId="7" borderId="2" xfId="0" applyFont="1" applyFill="1" applyBorder="1" applyAlignment="1">
      <alignment horizontal="center" vertical="center"/>
    </xf>
    <xf numFmtId="0" fontId="27" fillId="7" borderId="3" xfId="0" applyFont="1" applyFill="1" applyBorder="1" applyAlignment="1">
      <alignment horizontal="center" vertical="center" wrapText="1"/>
    </xf>
    <xf numFmtId="0" fontId="1" fillId="0" borderId="8" xfId="0" applyFont="1" applyBorder="1" applyAlignment="1">
      <alignment vertical="center"/>
    </xf>
    <xf numFmtId="0" fontId="0" fillId="0" borderId="0" xfId="0" applyAlignment="1">
      <alignment vertical="center" wrapText="1"/>
    </xf>
    <xf numFmtId="0" fontId="1" fillId="0" borderId="9" xfId="0" applyFont="1" applyBorder="1" applyAlignment="1">
      <alignment horizontal="left" vertical="center" indent="1"/>
    </xf>
    <xf numFmtId="0" fontId="0" fillId="0" borderId="10" xfId="0" applyBorder="1" applyAlignment="1">
      <alignment vertical="center" wrapText="1"/>
    </xf>
    <xf numFmtId="0" fontId="0" fillId="0" borderId="9" xfId="0" applyBorder="1" applyAlignment="1">
      <alignment vertical="center" wrapText="1"/>
    </xf>
    <xf numFmtId="0" fontId="1" fillId="0" borderId="33" xfId="0" applyFont="1" applyBorder="1" applyAlignment="1">
      <alignment vertical="center"/>
    </xf>
    <xf numFmtId="0" fontId="1" fillId="0" borderId="7" xfId="0" applyFont="1" applyBorder="1" applyAlignment="1">
      <alignment vertical="center"/>
    </xf>
    <xf numFmtId="0" fontId="0" fillId="0" borderId="5" xfId="0" applyBorder="1" applyAlignment="1">
      <alignment vertical="center" wrapText="1"/>
    </xf>
    <xf numFmtId="0" fontId="1" fillId="0" borderId="5" xfId="0" applyFont="1" applyBorder="1" applyAlignment="1">
      <alignment horizontal="left" vertical="center" indent="1"/>
    </xf>
    <xf numFmtId="0" fontId="0" fillId="0" borderId="6" xfId="0" applyBorder="1" applyAlignment="1">
      <alignment vertical="center" wrapText="1"/>
    </xf>
    <xf numFmtId="0" fontId="12" fillId="8" borderId="22" xfId="0" applyFont="1" applyFill="1" applyBorder="1" applyAlignment="1">
      <alignment horizontal="center" vertical="center" wrapText="1"/>
    </xf>
    <xf numFmtId="0" fontId="12" fillId="8" borderId="23" xfId="0" applyFont="1" applyFill="1" applyBorder="1" applyAlignment="1">
      <alignment horizontal="center" vertical="center" wrapText="1"/>
    </xf>
    <xf numFmtId="0" fontId="6" fillId="13" borderId="9" xfId="0" applyFont="1" applyFill="1" applyBorder="1" applyAlignment="1">
      <alignment horizontal="center" vertical="center" wrapText="1"/>
    </xf>
    <xf numFmtId="0" fontId="6" fillId="15" borderId="9" xfId="0" applyFont="1" applyFill="1" applyBorder="1" applyAlignment="1">
      <alignment horizontal="center" vertical="center" wrapText="1"/>
    </xf>
    <xf numFmtId="1" fontId="0" fillId="15" borderId="9" xfId="0" applyNumberFormat="1" applyFill="1" applyBorder="1" applyAlignment="1">
      <alignment horizontal="center" vertical="center"/>
    </xf>
    <xf numFmtId="1" fontId="0" fillId="15" borderId="5" xfId="0" applyNumberFormat="1" applyFill="1" applyBorder="1" applyAlignment="1">
      <alignment horizontal="center" vertical="center"/>
    </xf>
    <xf numFmtId="0" fontId="22" fillId="15" borderId="9" xfId="0" applyFont="1" applyFill="1" applyBorder="1" applyAlignment="1">
      <alignment horizontal="center" vertical="center" wrapText="1"/>
    </xf>
    <xf numFmtId="0" fontId="2" fillId="13" borderId="9" xfId="0" applyFont="1" applyFill="1" applyBorder="1" applyAlignment="1">
      <alignment vertical="center" wrapText="1"/>
    </xf>
    <xf numFmtId="0" fontId="22" fillId="13" borderId="9" xfId="0" applyFont="1" applyFill="1" applyBorder="1" applyAlignment="1">
      <alignment horizontal="center" vertical="center" wrapText="1"/>
    </xf>
    <xf numFmtId="0" fontId="10" fillId="10" borderId="3" xfId="0" applyFont="1" applyFill="1" applyBorder="1" applyAlignment="1" applyProtection="1">
      <alignment wrapText="1"/>
      <protection hidden="1"/>
    </xf>
    <xf numFmtId="0" fontId="12" fillId="10" borderId="9" xfId="0" applyFont="1" applyFill="1" applyBorder="1" applyAlignment="1" applyProtection="1">
      <alignment horizontal="center" vertical="center" wrapText="1"/>
      <protection hidden="1"/>
    </xf>
    <xf numFmtId="0" fontId="12" fillId="10" borderId="10" xfId="0" applyFont="1" applyFill="1" applyBorder="1" applyAlignment="1" applyProtection="1">
      <alignment horizontal="center" vertical="center" wrapText="1"/>
      <protection hidden="1"/>
    </xf>
    <xf numFmtId="2" fontId="0" fillId="0" borderId="0" xfId="0" applyNumberFormat="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0" fontId="0" fillId="0" borderId="0" xfId="0" applyNumberFormat="1"/>
    <xf numFmtId="10" fontId="0" fillId="0" borderId="3" xfId="0" applyNumberFormat="1" applyBorder="1" applyAlignment="1">
      <alignment horizontal="center" vertical="center"/>
    </xf>
    <xf numFmtId="10" fontId="0" fillId="0" borderId="5" xfId="0" applyNumberFormat="1" applyBorder="1" applyAlignment="1">
      <alignment horizontal="center" vertical="center"/>
    </xf>
    <xf numFmtId="0" fontId="0" fillId="0" borderId="46" xfId="0" applyBorder="1"/>
    <xf numFmtId="0" fontId="1" fillId="0" borderId="0" xfId="0" applyFont="1"/>
    <xf numFmtId="9" fontId="1" fillId="0" borderId="0" xfId="0" applyNumberFormat="1" applyFont="1" applyAlignment="1">
      <alignment horizontal="center"/>
    </xf>
    <xf numFmtId="0" fontId="12" fillId="0" borderId="46" xfId="0" applyFont="1" applyBorder="1" applyAlignment="1" applyProtection="1">
      <alignment horizontal="center" vertical="center" wrapText="1"/>
      <protection hidden="1"/>
    </xf>
    <xf numFmtId="2" fontId="0" fillId="0" borderId="9" xfId="1" applyNumberFormat="1" applyFont="1" applyBorder="1" applyAlignment="1">
      <alignment horizontal="center"/>
    </xf>
    <xf numFmtId="2" fontId="0" fillId="0" borderId="9" xfId="0" applyNumberFormat="1" applyBorder="1" applyAlignment="1">
      <alignment horizontal="center"/>
    </xf>
    <xf numFmtId="2" fontId="1" fillId="4" borderId="5" xfId="0" applyNumberFormat="1" applyFont="1" applyFill="1" applyBorder="1" applyAlignment="1">
      <alignment horizontal="center"/>
    </xf>
    <xf numFmtId="9" fontId="1" fillId="10" borderId="9" xfId="0" applyNumberFormat="1" applyFont="1" applyFill="1" applyBorder="1" applyAlignment="1">
      <alignment horizontal="center"/>
    </xf>
    <xf numFmtId="0" fontId="0" fillId="0" borderId="13" xfId="0" applyBorder="1"/>
    <xf numFmtId="9" fontId="0" fillId="0" borderId="13" xfId="1" applyFont="1" applyBorder="1" applyAlignment="1">
      <alignment horizontal="center"/>
    </xf>
    <xf numFmtId="2" fontId="0" fillId="0" borderId="13" xfId="1" applyNumberFormat="1" applyFont="1" applyBorder="1" applyAlignment="1">
      <alignment horizontal="center"/>
    </xf>
    <xf numFmtId="9" fontId="0" fillId="10" borderId="13" xfId="1" applyFont="1" applyFill="1" applyBorder="1" applyAlignment="1">
      <alignment horizontal="center"/>
    </xf>
    <xf numFmtId="9" fontId="0" fillId="10" borderId="14" xfId="1" applyFont="1" applyFill="1" applyBorder="1" applyAlignment="1">
      <alignment horizontal="center"/>
    </xf>
    <xf numFmtId="0" fontId="1" fillId="7" borderId="12" xfId="0" applyFont="1" applyFill="1" applyBorder="1"/>
    <xf numFmtId="0" fontId="1" fillId="7" borderId="13" xfId="0" applyFont="1" applyFill="1" applyBorder="1"/>
    <xf numFmtId="0" fontId="1" fillId="7" borderId="13" xfId="0" applyFont="1" applyFill="1" applyBorder="1" applyAlignment="1">
      <alignment horizontal="center" wrapText="1"/>
    </xf>
    <xf numFmtId="0" fontId="1" fillId="7" borderId="57" xfId="0" applyFont="1" applyFill="1" applyBorder="1" applyAlignment="1">
      <alignment wrapText="1"/>
    </xf>
    <xf numFmtId="0" fontId="1" fillId="7" borderId="55" xfId="0" applyFont="1" applyFill="1" applyBorder="1" applyAlignment="1">
      <alignment horizontal="center"/>
    </xf>
    <xf numFmtId="0" fontId="1" fillId="7" borderId="27" xfId="0" applyFont="1" applyFill="1" applyBorder="1" applyAlignment="1">
      <alignment horizontal="center"/>
    </xf>
    <xf numFmtId="0" fontId="1" fillId="7" borderId="27" xfId="0" applyFont="1" applyFill="1" applyBorder="1" applyAlignment="1">
      <alignment wrapText="1"/>
    </xf>
    <xf numFmtId="0" fontId="1" fillId="7" borderId="3" xfId="0" applyFont="1" applyFill="1" applyBorder="1" applyAlignment="1" applyProtection="1">
      <alignment horizontal="center"/>
      <protection hidden="1"/>
    </xf>
    <xf numFmtId="0" fontId="1" fillId="7" borderId="9" xfId="0" applyFont="1" applyFill="1" applyBorder="1" applyAlignment="1" applyProtection="1">
      <alignment horizontal="center"/>
      <protection hidden="1"/>
    </xf>
    <xf numFmtId="9" fontId="0" fillId="15" borderId="9" xfId="0" applyNumberFormat="1" applyFill="1" applyBorder="1" applyAlignment="1">
      <alignment horizontal="center" vertical="center"/>
    </xf>
    <xf numFmtId="1" fontId="0" fillId="15" borderId="9" xfId="0" applyNumberFormat="1" applyFill="1" applyBorder="1" applyAlignment="1">
      <alignment horizontal="center" vertical="center" wrapText="1"/>
    </xf>
    <xf numFmtId="9" fontId="0" fillId="13" borderId="9" xfId="0" applyNumberFormat="1" applyFill="1" applyBorder="1" applyAlignment="1">
      <alignment horizontal="center" vertical="center"/>
    </xf>
    <xf numFmtId="1" fontId="0" fillId="13" borderId="9" xfId="0" applyNumberFormat="1" applyFill="1" applyBorder="1" applyAlignment="1">
      <alignment horizontal="center" vertical="center" wrapText="1"/>
    </xf>
    <xf numFmtId="0" fontId="0" fillId="15" borderId="9" xfId="0" applyFill="1" applyBorder="1" applyAlignment="1">
      <alignment horizontal="center" vertical="center" wrapText="1"/>
    </xf>
    <xf numFmtId="0" fontId="0" fillId="13" borderId="9" xfId="0" applyFill="1" applyBorder="1" applyAlignment="1">
      <alignment horizontal="center" vertical="center" wrapText="1"/>
    </xf>
    <xf numFmtId="0" fontId="0" fillId="4" borderId="7" xfId="0" applyFill="1" applyBorder="1" applyAlignment="1">
      <alignment vertical="center"/>
    </xf>
    <xf numFmtId="1" fontId="0" fillId="4" borderId="5" xfId="0" applyNumberFormat="1" applyFill="1" applyBorder="1" applyAlignment="1">
      <alignment horizontal="left" vertical="center"/>
    </xf>
    <xf numFmtId="9" fontId="0" fillId="15" borderId="5" xfId="0" applyNumberFormat="1" applyFill="1" applyBorder="1" applyAlignment="1">
      <alignment horizontal="center" vertical="center"/>
    </xf>
    <xf numFmtId="0" fontId="0" fillId="15" borderId="5" xfId="0" applyFill="1" applyBorder="1" applyAlignment="1">
      <alignment horizontal="center" vertical="center" wrapText="1"/>
    </xf>
    <xf numFmtId="9" fontId="0" fillId="13" borderId="5" xfId="0" applyNumberFormat="1" applyFill="1" applyBorder="1" applyAlignment="1">
      <alignment horizontal="center" vertical="center"/>
    </xf>
    <xf numFmtId="0" fontId="0" fillId="13" borderId="5" xfId="0" applyFill="1" applyBorder="1" applyAlignment="1">
      <alignment horizontal="center" vertical="center" wrapText="1"/>
    </xf>
    <xf numFmtId="0" fontId="0" fillId="0" borderId="0" xfId="0" applyAlignment="1">
      <alignment vertical="center"/>
    </xf>
    <xf numFmtId="10" fontId="0" fillId="0" borderId="9" xfId="0" applyNumberFormat="1" applyBorder="1" applyAlignment="1">
      <alignment horizontal="center" vertical="center"/>
    </xf>
    <xf numFmtId="2" fontId="0" fillId="0" borderId="9" xfId="0" applyNumberFormat="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1" fontId="0" fillId="0" borderId="12" xfId="0" applyNumberFormat="1" applyBorder="1" applyAlignment="1">
      <alignment horizontal="center"/>
    </xf>
    <xf numFmtId="1" fontId="0" fillId="0" borderId="21" xfId="0" applyNumberFormat="1" applyBorder="1" applyAlignment="1">
      <alignment horizontal="center"/>
    </xf>
    <xf numFmtId="1" fontId="0" fillId="0" borderId="13" xfId="0" applyNumberFormat="1" applyBorder="1" applyAlignment="1">
      <alignment horizontal="center"/>
    </xf>
    <xf numFmtId="1" fontId="0" fillId="0" borderId="14" xfId="0" applyNumberFormat="1" applyBorder="1" applyAlignment="1">
      <alignment horizontal="center"/>
    </xf>
    <xf numFmtId="1" fontId="0" fillId="0" borderId="14" xfId="0" applyNumberFormat="1" applyBorder="1"/>
    <xf numFmtId="0" fontId="25" fillId="4" borderId="8" xfId="0" applyFont="1" applyFill="1" applyBorder="1" applyAlignment="1">
      <alignment horizontal="center" vertical="top" wrapText="1"/>
    </xf>
    <xf numFmtId="0" fontId="0" fillId="4" borderId="9" xfId="0" applyFill="1" applyBorder="1" applyAlignment="1">
      <alignment horizontal="center" wrapText="1"/>
    </xf>
    <xf numFmtId="1" fontId="0" fillId="4" borderId="8" xfId="0" applyNumberFormat="1" applyFill="1" applyBorder="1" applyAlignment="1">
      <alignment horizontal="center"/>
    </xf>
    <xf numFmtId="1" fontId="0" fillId="4" borderId="10" xfId="0" applyNumberFormat="1" applyFill="1" applyBorder="1"/>
    <xf numFmtId="0" fontId="25" fillId="2" borderId="8" xfId="0" applyFont="1" applyFill="1" applyBorder="1" applyAlignment="1">
      <alignment horizontal="center" vertical="top" wrapText="1"/>
    </xf>
    <xf numFmtId="1" fontId="0" fillId="0" borderId="9" xfId="0" applyNumberFormat="1" applyBorder="1" applyAlignment="1">
      <alignment horizontal="center"/>
    </xf>
    <xf numFmtId="1" fontId="0" fillId="0" borderId="8" xfId="0" applyNumberFormat="1" applyBorder="1" applyAlignment="1">
      <alignment horizontal="center"/>
    </xf>
    <xf numFmtId="1" fontId="0" fillId="0" borderId="16" xfId="0" applyNumberFormat="1" applyBorder="1" applyAlignment="1">
      <alignment horizontal="center"/>
    </xf>
    <xf numFmtId="1" fontId="0" fillId="0" borderId="10" xfId="0" applyNumberFormat="1" applyBorder="1" applyAlignment="1">
      <alignment horizontal="center"/>
    </xf>
    <xf numFmtId="1" fontId="0" fillId="0" borderId="10" xfId="0" applyNumberFormat="1" applyBorder="1"/>
    <xf numFmtId="0" fontId="25" fillId="0" borderId="7" xfId="0" applyFont="1" applyBorder="1" applyAlignment="1">
      <alignment horizontal="center" vertical="top" wrapText="1"/>
    </xf>
    <xf numFmtId="0" fontId="0" fillId="4" borderId="5" xfId="0" applyFill="1" applyBorder="1" applyAlignment="1">
      <alignment horizontal="center" wrapText="1"/>
    </xf>
    <xf numFmtId="1" fontId="0" fillId="4" borderId="7" xfId="0" applyNumberFormat="1" applyFill="1" applyBorder="1" applyAlignment="1">
      <alignment horizontal="center"/>
    </xf>
    <xf numFmtId="1" fontId="0" fillId="4" borderId="6" xfId="0" applyNumberFormat="1" applyFill="1" applyBorder="1"/>
    <xf numFmtId="0" fontId="5" fillId="0" borderId="54" xfId="0" applyFont="1" applyBorder="1" applyAlignment="1">
      <alignment vertical="center"/>
    </xf>
    <xf numFmtId="0" fontId="1" fillId="0" borderId="0" xfId="0" applyFont="1" applyAlignment="1">
      <alignment horizontal="center"/>
    </xf>
    <xf numFmtId="0" fontId="1" fillId="0" borderId="31" xfId="0" applyFont="1" applyBorder="1" applyAlignment="1">
      <alignment horizontal="center"/>
    </xf>
    <xf numFmtId="0" fontId="2" fillId="8" borderId="8" xfId="0" applyFont="1" applyFill="1" applyBorder="1" applyAlignment="1">
      <alignment horizontal="right"/>
    </xf>
    <xf numFmtId="0" fontId="2" fillId="8" borderId="11" xfId="0" applyFont="1" applyFill="1" applyBorder="1" applyAlignment="1">
      <alignment horizontal="right"/>
    </xf>
    <xf numFmtId="0" fontId="2" fillId="8" borderId="8" xfId="0" applyFont="1" applyFill="1" applyBorder="1" applyAlignment="1">
      <alignment horizontal="right" wrapText="1"/>
    </xf>
    <xf numFmtId="0" fontId="2" fillId="8" borderId="11" xfId="0" applyFont="1" applyFill="1" applyBorder="1" applyAlignment="1">
      <alignment horizontal="right" wrapText="1"/>
    </xf>
    <xf numFmtId="0" fontId="1" fillId="8" borderId="41" xfId="0" applyFont="1" applyFill="1" applyBorder="1" applyAlignment="1">
      <alignment horizontal="right"/>
    </xf>
    <xf numFmtId="0" fontId="1" fillId="8" borderId="18" xfId="0" applyFont="1" applyFill="1" applyBorder="1" applyAlignment="1">
      <alignment horizontal="right"/>
    </xf>
    <xf numFmtId="0" fontId="2" fillId="8" borderId="40" xfId="0" applyFont="1" applyFill="1" applyBorder="1" applyAlignment="1">
      <alignment horizontal="right" wrapText="1"/>
    </xf>
    <xf numFmtId="0" fontId="2" fillId="8" borderId="20" xfId="0" applyFont="1" applyFill="1" applyBorder="1" applyAlignment="1">
      <alignment horizontal="right" wrapText="1"/>
    </xf>
    <xf numFmtId="0" fontId="15" fillId="6" borderId="26" xfId="0" applyFont="1" applyFill="1" applyBorder="1" applyAlignment="1">
      <alignment horizontal="center" vertical="center" wrapText="1"/>
    </xf>
    <xf numFmtId="0" fontId="15" fillId="6" borderId="44" xfId="0" applyFont="1" applyFill="1" applyBorder="1" applyAlignment="1">
      <alignment horizontal="center" vertical="center" wrapText="1"/>
    </xf>
    <xf numFmtId="0" fontId="7" fillId="0" borderId="33" xfId="0" applyFont="1" applyBorder="1" applyAlignment="1">
      <alignment horizontal="center" vertical="center" wrapText="1"/>
    </xf>
    <xf numFmtId="0" fontId="7" fillId="0" borderId="47" xfId="0" applyFont="1" applyBorder="1" applyAlignment="1">
      <alignment horizontal="center" vertical="center" wrapText="1"/>
    </xf>
    <xf numFmtId="0" fontId="7" fillId="0" borderId="25" xfId="0" applyFont="1" applyBorder="1" applyAlignment="1">
      <alignment horizontal="center" vertical="center" wrapText="1"/>
    </xf>
    <xf numFmtId="0" fontId="7" fillId="0" borderId="48" xfId="0" applyFont="1" applyBorder="1" applyAlignment="1">
      <alignment horizontal="center" vertical="center" wrapText="1"/>
    </xf>
    <xf numFmtId="0" fontId="13" fillId="12" borderId="30" xfId="0" applyFont="1" applyFill="1" applyBorder="1" applyAlignment="1">
      <alignment horizontal="center" vertical="center" wrapText="1"/>
    </xf>
    <xf numFmtId="0" fontId="13" fillId="12" borderId="31" xfId="0" applyFont="1" applyFill="1" applyBorder="1" applyAlignment="1">
      <alignment horizontal="center" vertical="center" wrapText="1"/>
    </xf>
    <xf numFmtId="0" fontId="10" fillId="8" borderId="41" xfId="0" applyFont="1" applyFill="1" applyBorder="1" applyAlignment="1">
      <alignment horizontal="center" vertical="center" wrapText="1"/>
    </xf>
    <xf numFmtId="0" fontId="10" fillId="8" borderId="18" xfId="0" applyFont="1" applyFill="1" applyBorder="1" applyAlignment="1">
      <alignment horizontal="center" vertical="center"/>
    </xf>
    <xf numFmtId="0" fontId="10" fillId="8" borderId="40" xfId="0" applyFont="1" applyFill="1" applyBorder="1" applyAlignment="1">
      <alignment horizontal="center" vertical="center"/>
    </xf>
    <xf numFmtId="0" fontId="10" fillId="8" borderId="20" xfId="0" applyFont="1" applyFill="1" applyBorder="1" applyAlignment="1">
      <alignment horizontal="center" vertical="center"/>
    </xf>
    <xf numFmtId="0" fontId="1" fillId="8" borderId="46" xfId="0" applyFont="1" applyFill="1" applyBorder="1" applyAlignment="1">
      <alignment horizontal="center" vertical="center" wrapText="1"/>
    </xf>
    <xf numFmtId="0" fontId="1" fillId="8" borderId="0" xfId="0" applyFont="1" applyFill="1" applyAlignment="1">
      <alignment horizontal="center" vertical="center" wrapText="1"/>
    </xf>
    <xf numFmtId="0" fontId="1" fillId="8" borderId="40" xfId="0" applyFont="1" applyFill="1" applyBorder="1" applyAlignment="1">
      <alignment horizontal="center" vertical="center" wrapText="1"/>
    </xf>
    <xf numFmtId="0" fontId="1" fillId="8" borderId="20" xfId="0" applyFont="1" applyFill="1" applyBorder="1" applyAlignment="1">
      <alignment horizontal="center" vertical="center" wrapText="1"/>
    </xf>
    <xf numFmtId="0" fontId="10" fillId="3" borderId="23" xfId="0" applyFont="1" applyFill="1" applyBorder="1" applyAlignment="1">
      <alignment horizontal="center" vertical="center" wrapText="1"/>
    </xf>
    <xf numFmtId="0" fontId="17" fillId="14" borderId="39" xfId="0" applyFont="1" applyFill="1" applyBorder="1" applyAlignment="1">
      <alignment horizontal="center" vertical="center"/>
    </xf>
    <xf numFmtId="0" fontId="17" fillId="14" borderId="36" xfId="0" applyFont="1"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43" xfId="0" applyFont="1" applyBorder="1" applyAlignment="1">
      <alignment horizontal="center"/>
    </xf>
    <xf numFmtId="0" fontId="1" fillId="0" borderId="19" xfId="0" applyFont="1" applyBorder="1" applyAlignment="1">
      <alignment horizontal="center"/>
    </xf>
    <xf numFmtId="0" fontId="6" fillId="8" borderId="3" xfId="0" applyFont="1" applyFill="1" applyBorder="1" applyAlignment="1">
      <alignment horizontal="center" vertical="center"/>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0" borderId="27"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38"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0" xfId="0" applyFont="1" applyBorder="1" applyAlignment="1">
      <alignment horizontal="center" vertical="center" wrapText="1"/>
    </xf>
    <xf numFmtId="0" fontId="16" fillId="0" borderId="25" xfId="0" applyFont="1" applyBorder="1" applyAlignment="1">
      <alignment horizontal="center" vertical="center" wrapText="1"/>
    </xf>
    <xf numFmtId="0" fontId="16" fillId="0" borderId="48" xfId="0" applyFont="1" applyBorder="1" applyAlignment="1">
      <alignment horizontal="center" vertical="center" wrapText="1"/>
    </xf>
    <xf numFmtId="0" fontId="26" fillId="8" borderId="9" xfId="0" applyFont="1" applyFill="1" applyBorder="1" applyAlignment="1">
      <alignment horizontal="center" vertical="center" wrapText="1"/>
    </xf>
    <xf numFmtId="0" fontId="14" fillId="6" borderId="36" xfId="0" applyFont="1" applyFill="1" applyBorder="1" applyAlignment="1">
      <alignment horizontal="center" wrapText="1"/>
    </xf>
    <xf numFmtId="0" fontId="14" fillId="6" borderId="37" xfId="0" applyFont="1" applyFill="1" applyBorder="1" applyAlignment="1">
      <alignment horizontal="center" wrapText="1"/>
    </xf>
    <xf numFmtId="0" fontId="15" fillId="6" borderId="16" xfId="0" applyFont="1" applyFill="1" applyBorder="1" applyAlignment="1">
      <alignment horizontal="center" vertical="center" wrapText="1"/>
    </xf>
    <xf numFmtId="0" fontId="15" fillId="6" borderId="10" xfId="0" applyFont="1" applyFill="1" applyBorder="1" applyAlignment="1">
      <alignment horizontal="center" vertical="center" wrapText="1"/>
    </xf>
    <xf numFmtId="0" fontId="7" fillId="0" borderId="55" xfId="0" applyFont="1" applyBorder="1" applyAlignment="1">
      <alignment horizontal="center" vertical="center" wrapText="1"/>
    </xf>
    <xf numFmtId="0" fontId="2" fillId="8" borderId="21" xfId="0" applyFont="1" applyFill="1" applyBorder="1" applyAlignment="1">
      <alignment horizontal="right" wrapText="1"/>
    </xf>
    <xf numFmtId="0" fontId="1" fillId="8" borderId="41" xfId="0" applyFont="1" applyFill="1" applyBorder="1" applyAlignment="1">
      <alignment horizontal="center" vertical="center" wrapText="1"/>
    </xf>
    <xf numFmtId="0" fontId="1" fillId="8" borderId="18" xfId="0" applyFont="1" applyFill="1" applyBorder="1" applyAlignment="1">
      <alignment horizontal="center" vertical="center"/>
    </xf>
    <xf numFmtId="0" fontId="1" fillId="8" borderId="40" xfId="0" applyFont="1" applyFill="1" applyBorder="1" applyAlignment="1">
      <alignment horizontal="center" vertical="center"/>
    </xf>
    <xf numFmtId="0" fontId="1" fillId="8" borderId="20" xfId="0" applyFont="1" applyFill="1" applyBorder="1" applyAlignment="1">
      <alignment horizontal="center" vertical="center"/>
    </xf>
    <xf numFmtId="0" fontId="6" fillId="13" borderId="11" xfId="0" applyFont="1" applyFill="1" applyBorder="1" applyAlignment="1">
      <alignment horizontal="center" vertical="center" wrapText="1"/>
    </xf>
    <xf numFmtId="0" fontId="6" fillId="13" borderId="26" xfId="0" applyFont="1" applyFill="1" applyBorder="1" applyAlignment="1">
      <alignment horizontal="center" vertical="center" wrapText="1"/>
    </xf>
    <xf numFmtId="0" fontId="6" fillId="13" borderId="16" xfId="0" applyFont="1" applyFill="1" applyBorder="1" applyAlignment="1">
      <alignment horizontal="center" vertical="center" wrapText="1"/>
    </xf>
    <xf numFmtId="0" fontId="2" fillId="13" borderId="9" xfId="0" applyFont="1" applyFill="1" applyBorder="1" applyAlignment="1">
      <alignment horizontal="center" vertical="center" wrapText="1"/>
    </xf>
    <xf numFmtId="0" fontId="6" fillId="8" borderId="10"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8" xfId="0" applyFont="1" applyFill="1" applyBorder="1" applyAlignment="1">
      <alignment horizontal="center" vertical="center" wrapText="1"/>
    </xf>
    <xf numFmtId="0" fontId="2" fillId="8" borderId="9" xfId="0" applyFont="1" applyFill="1" applyBorder="1" applyAlignment="1">
      <alignment horizontal="center" vertical="center" wrapText="1"/>
    </xf>
    <xf numFmtId="0" fontId="3" fillId="8" borderId="3" xfId="0" applyFont="1" applyFill="1" applyBorder="1" applyAlignment="1">
      <alignment horizontal="left" vertical="center" wrapText="1"/>
    </xf>
    <xf numFmtId="0" fontId="3" fillId="8" borderId="9" xfId="0" applyFont="1" applyFill="1" applyBorder="1" applyAlignment="1">
      <alignment horizontal="left" vertical="center" wrapText="1"/>
    </xf>
    <xf numFmtId="0" fontId="2" fillId="15" borderId="9" xfId="0" applyFont="1" applyFill="1" applyBorder="1" applyAlignment="1">
      <alignment horizontal="center" vertical="center" wrapText="1"/>
    </xf>
    <xf numFmtId="0" fontId="19" fillId="6" borderId="3" xfId="0" applyFont="1" applyFill="1" applyBorder="1" applyAlignment="1">
      <alignment horizontal="right" vertical="center" wrapText="1"/>
    </xf>
    <xf numFmtId="0" fontId="19" fillId="6" borderId="4" xfId="0" applyFont="1" applyFill="1" applyBorder="1" applyAlignment="1">
      <alignment horizontal="right" vertical="center" wrapText="1"/>
    </xf>
    <xf numFmtId="0" fontId="6" fillId="15" borderId="9" xfId="0" applyFont="1" applyFill="1" applyBorder="1" applyAlignment="1">
      <alignment horizontal="center" vertical="center" wrapText="1"/>
    </xf>
    <xf numFmtId="0" fontId="6" fillId="15" borderId="9" xfId="0" applyFont="1" applyFill="1" applyBorder="1" applyAlignment="1">
      <alignment horizontal="center" vertical="center"/>
    </xf>
    <xf numFmtId="0" fontId="6" fillId="13" borderId="9" xfId="0" applyFont="1" applyFill="1" applyBorder="1" applyAlignment="1">
      <alignment horizontal="center" vertical="center" wrapText="1"/>
    </xf>
    <xf numFmtId="0" fontId="1" fillId="0" borderId="0" xfId="0" applyFont="1" applyAlignment="1">
      <alignment horizontal="right" indent="3"/>
    </xf>
    <xf numFmtId="0" fontId="1" fillId="0" borderId="15" xfId="0" applyFont="1" applyBorder="1" applyAlignment="1">
      <alignment horizontal="right" indent="3"/>
    </xf>
    <xf numFmtId="0" fontId="0" fillId="0" borderId="15" xfId="0" applyBorder="1" applyAlignment="1">
      <alignment horizontal="left"/>
    </xf>
    <xf numFmtId="0" fontId="9" fillId="5" borderId="0" xfId="0" applyFont="1" applyFill="1" applyAlignment="1">
      <alignment horizontal="left"/>
    </xf>
    <xf numFmtId="0" fontId="10" fillId="7" borderId="9" xfId="0" applyFont="1" applyFill="1" applyBorder="1" applyAlignment="1" applyProtection="1">
      <alignment horizontal="center" wrapText="1"/>
      <protection hidden="1"/>
    </xf>
    <xf numFmtId="0" fontId="1" fillId="7" borderId="56" xfId="0" applyFont="1" applyFill="1" applyBorder="1" applyAlignment="1">
      <alignment horizontal="center"/>
    </xf>
    <xf numFmtId="0" fontId="1" fillId="7" borderId="57" xfId="0" applyFont="1" applyFill="1" applyBorder="1" applyAlignment="1">
      <alignment horizontal="center"/>
    </xf>
    <xf numFmtId="0" fontId="1" fillId="7" borderId="2" xfId="0" applyFont="1" applyFill="1" applyBorder="1" applyAlignment="1" applyProtection="1">
      <alignment horizontal="center"/>
      <protection hidden="1"/>
    </xf>
    <xf numFmtId="0" fontId="1" fillId="7" borderId="8" xfId="0" applyFont="1" applyFill="1" applyBorder="1" applyAlignment="1" applyProtection="1">
      <alignment horizontal="center"/>
      <protection hidden="1"/>
    </xf>
    <xf numFmtId="0" fontId="1" fillId="7" borderId="3" xfId="0" applyFont="1" applyFill="1" applyBorder="1" applyAlignment="1">
      <alignment horizontal="center"/>
    </xf>
    <xf numFmtId="0" fontId="1" fillId="7" borderId="35" xfId="0" applyFont="1" applyFill="1" applyBorder="1" applyAlignment="1">
      <alignment horizontal="center"/>
    </xf>
    <xf numFmtId="0" fontId="10" fillId="7" borderId="11" xfId="0" applyFont="1" applyFill="1" applyBorder="1" applyAlignment="1" applyProtection="1">
      <alignment horizontal="center" wrapText="1"/>
      <protection hidden="1"/>
    </xf>
    <xf numFmtId="0" fontId="10" fillId="7" borderId="26" xfId="0" applyFont="1" applyFill="1" applyBorder="1" applyAlignment="1" applyProtection="1">
      <alignment horizontal="center" wrapText="1"/>
      <protection hidden="1"/>
    </xf>
    <xf numFmtId="0" fontId="10" fillId="7" borderId="16" xfId="0" applyFont="1" applyFill="1" applyBorder="1" applyAlignment="1" applyProtection="1">
      <alignment horizontal="center" wrapText="1"/>
      <protection hidden="1"/>
    </xf>
    <xf numFmtId="0" fontId="10" fillId="7" borderId="10" xfId="0" applyFont="1" applyFill="1" applyBorder="1" applyAlignment="1" applyProtection="1">
      <alignment horizontal="center" wrapText="1"/>
      <protection hidden="1"/>
    </xf>
    <xf numFmtId="0" fontId="10" fillId="10" borderId="3" xfId="0" applyFont="1" applyFill="1" applyBorder="1" applyAlignment="1" applyProtection="1">
      <alignment horizontal="center" wrapText="1"/>
      <protection hidden="1"/>
    </xf>
    <xf numFmtId="0" fontId="10" fillId="7" borderId="3" xfId="0" applyFont="1" applyFill="1" applyBorder="1" applyAlignment="1" applyProtection="1">
      <alignment horizontal="center" wrapText="1"/>
      <protection hidden="1"/>
    </xf>
    <xf numFmtId="0" fontId="1" fillId="7" borderId="3" xfId="0" applyFont="1" applyFill="1" applyBorder="1" applyAlignment="1" applyProtection="1">
      <alignment horizontal="center"/>
      <protection hidden="1"/>
    </xf>
    <xf numFmtId="0" fontId="1" fillId="7" borderId="9" xfId="0" applyFont="1" applyFill="1" applyBorder="1" applyAlignment="1" applyProtection="1">
      <alignment horizontal="center"/>
      <protection hidden="1"/>
    </xf>
    <xf numFmtId="0" fontId="12" fillId="7" borderId="3" xfId="0" applyFont="1" applyFill="1" applyBorder="1" applyAlignment="1" applyProtection="1">
      <alignment horizontal="center" wrapText="1"/>
      <protection hidden="1"/>
    </xf>
    <xf numFmtId="0" fontId="12" fillId="7" borderId="9" xfId="0" applyFont="1" applyFill="1" applyBorder="1" applyAlignment="1" applyProtection="1">
      <alignment horizontal="center" wrapText="1"/>
      <protection hidden="1"/>
    </xf>
    <xf numFmtId="0" fontId="12" fillId="7" borderId="3" xfId="0" applyFont="1" applyFill="1" applyBorder="1" applyAlignment="1" applyProtection="1">
      <alignment horizontal="center" vertical="center" wrapText="1"/>
      <protection hidden="1"/>
    </xf>
    <xf numFmtId="0" fontId="12" fillId="7" borderId="9" xfId="0" applyFont="1" applyFill="1" applyBorder="1" applyAlignment="1" applyProtection="1">
      <alignment horizontal="center" vertical="center" wrapText="1"/>
      <protection hidden="1"/>
    </xf>
    <xf numFmtId="0" fontId="27" fillId="7" borderId="3" xfId="0" applyFont="1" applyFill="1" applyBorder="1" applyAlignment="1">
      <alignment horizontal="center" vertical="center"/>
    </xf>
    <xf numFmtId="0" fontId="27" fillId="7" borderId="4" xfId="0" applyFont="1" applyFill="1" applyBorder="1" applyAlignment="1">
      <alignment horizontal="center" vertical="center"/>
    </xf>
  </cellXfs>
  <cellStyles count="2">
    <cellStyle name="Normal" xfId="0" builtinId="0"/>
    <cellStyle name="Percent" xfId="1" builtinId="5"/>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tint="-0.24994659260841701"/>
      </font>
    </dxf>
    <dxf>
      <font>
        <color theme="0" tint="-0.24994659260841701"/>
      </font>
    </dxf>
    <dxf>
      <fill>
        <patternFill>
          <bgColor theme="5" tint="0.59996337778862885"/>
        </patternFill>
      </fill>
    </dxf>
    <dxf>
      <font>
        <color rgb="FF9C0006"/>
      </font>
      <fill>
        <patternFill>
          <bgColor rgb="FFFFC7CE"/>
        </patternFill>
      </fill>
    </dxf>
    <dxf>
      <font>
        <color rgb="FF006100"/>
      </font>
      <fill>
        <patternFill>
          <bgColor rgb="FFC6EFCE"/>
        </patternFill>
      </fill>
    </dxf>
    <dxf>
      <fill>
        <patternFill>
          <bgColor theme="1" tint="0.14996795556505021"/>
        </patternFill>
      </fill>
    </dxf>
    <dxf>
      <font>
        <color rgb="FF9C0006"/>
      </font>
      <fill>
        <patternFill>
          <bgColor rgb="FFFFC7CE"/>
        </patternFill>
      </fill>
    </dxf>
    <dxf>
      <font>
        <b/>
        <i val="0"/>
        <color rgb="FFFF0000"/>
      </font>
    </dxf>
    <dxf>
      <font>
        <color rgb="FF9C0006"/>
      </font>
      <fill>
        <patternFill>
          <bgColor rgb="FFFFC7CE"/>
        </patternFill>
      </fill>
    </dxf>
    <dxf>
      <fill>
        <patternFill>
          <bgColor rgb="FFF69582"/>
        </patternFill>
      </fill>
    </dxf>
    <dxf>
      <font>
        <color theme="1" tint="0.24994659260841701"/>
      </font>
      <fill>
        <patternFill>
          <bgColor theme="1" tint="0.24994659260841701"/>
        </patternFill>
      </fill>
    </dxf>
    <dxf>
      <font>
        <color theme="1" tint="0.24994659260841701"/>
      </font>
      <fill>
        <patternFill>
          <bgColor theme="1" tint="0.24994659260841701"/>
        </patternFill>
      </fill>
    </dxf>
    <dxf>
      <font>
        <color theme="1"/>
      </font>
      <fill>
        <patternFill>
          <bgColor theme="1"/>
        </patternFill>
      </fill>
    </dxf>
    <dxf>
      <font>
        <b val="0"/>
        <i val="0"/>
        <color theme="0" tint="-0.499984740745262"/>
      </font>
    </dxf>
    <dxf>
      <font>
        <color theme="0" tint="-0.24994659260841701"/>
      </font>
    </dxf>
    <dxf>
      <font>
        <color theme="0" tint="-0.24994659260841701"/>
      </font>
    </dxf>
    <dxf>
      <fill>
        <patternFill>
          <bgColor theme="5" tint="0.59996337778862885"/>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theme="1" tint="0.14996795556505021"/>
        </patternFill>
      </fill>
    </dxf>
    <dxf>
      <font>
        <color rgb="FF9C0006"/>
      </font>
      <fill>
        <patternFill>
          <bgColor rgb="FFFFC7CE"/>
        </patternFill>
      </fill>
    </dxf>
    <dxf>
      <font>
        <b/>
        <i val="0"/>
        <color rgb="FFFF0000"/>
      </font>
    </dxf>
    <dxf>
      <font>
        <color rgb="FF9C0006"/>
      </font>
      <fill>
        <patternFill>
          <bgColor rgb="FFFFC7CE"/>
        </patternFill>
      </fill>
    </dxf>
    <dxf>
      <fill>
        <patternFill>
          <bgColor rgb="FFF69582"/>
        </patternFill>
      </fill>
    </dxf>
    <dxf>
      <font>
        <color theme="1" tint="0.24994659260841701"/>
      </font>
      <fill>
        <patternFill>
          <bgColor theme="1" tint="0.24994659260841701"/>
        </patternFill>
      </fill>
    </dxf>
    <dxf>
      <font>
        <color theme="1" tint="0.24994659260841701"/>
      </font>
      <fill>
        <patternFill>
          <bgColor theme="1" tint="0.24994659260841701"/>
        </patternFill>
      </fill>
    </dxf>
    <dxf>
      <font>
        <color theme="1"/>
      </font>
      <fill>
        <patternFill>
          <bgColor theme="1"/>
        </patternFill>
      </fill>
    </dxf>
    <dxf>
      <font>
        <b val="0"/>
        <i val="0"/>
        <color theme="0" tint="-0.499984740745262"/>
      </font>
    </dxf>
    <dxf>
      <font>
        <color theme="0" tint="-0.24994659260841701"/>
      </font>
    </dxf>
    <dxf>
      <font>
        <color theme="0" tint="-0.24994659260841701"/>
      </font>
    </dxf>
  </dxfs>
  <tableStyles count="0" defaultTableStyle="TableStyleMedium2" defaultPivotStyle="PivotStyleLight16"/>
  <colors>
    <mruColors>
      <color rgb="FFF695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Assessment Part 1 Reading Level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'Class Summary'!$D$18</c:f>
              <c:strCache>
                <c:ptCount val="1"/>
                <c:pt idx="0">
                  <c:v>Full Refresher</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Summary'!$D$19:$D$24</c:f>
              <c:numCache>
                <c:formatCode>0%</c:formatCode>
                <c:ptCount val="6"/>
                <c:pt idx="0">
                  <c:v>0.46153846153846156</c:v>
                </c:pt>
                <c:pt idx="1">
                  <c:v>0.45454545454545453</c:v>
                </c:pt>
                <c:pt idx="2">
                  <c:v>0.45833333333333331</c:v>
                </c:pt>
                <c:pt idx="3">
                  <c:v>0.46153846153846156</c:v>
                </c:pt>
                <c:pt idx="4">
                  <c:v>0.45454545454545453</c:v>
                </c:pt>
                <c:pt idx="5">
                  <c:v>0.45833333333333331</c:v>
                </c:pt>
              </c:numCache>
            </c:numRef>
          </c:val>
          <c:extLst>
            <c:ext xmlns:c16="http://schemas.microsoft.com/office/drawing/2014/chart" uri="{C3380CC4-5D6E-409C-BE32-E72D297353CC}">
              <c16:uniqueId val="{00000000-C3D4-4AD4-815C-73795215F694}"/>
            </c:ext>
          </c:extLst>
        </c:ser>
        <c:ser>
          <c:idx val="1"/>
          <c:order val="1"/>
          <c:tx>
            <c:strRef>
              <c:f>'Class Summary'!$E$18</c:f>
              <c:strCache>
                <c:ptCount val="1"/>
                <c:pt idx="0">
                  <c:v>Moderate Refresher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Summary'!$E$19:$E$24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893-4213-8AC2-4A322D298431}"/>
            </c:ext>
          </c:extLst>
        </c:ser>
        <c:ser>
          <c:idx val="2"/>
          <c:order val="2"/>
          <c:tx>
            <c:strRef>
              <c:f>'Class Summary'!$F$18</c:f>
              <c:strCache>
                <c:ptCount val="1"/>
                <c:pt idx="0">
                  <c:v>Light Refresher</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Summary'!$F$19:$F$24</c:f>
              <c:numCache>
                <c:formatCode>0%</c:formatCode>
                <c:ptCount val="6"/>
                <c:pt idx="0">
                  <c:v>7.6923076923076927E-2</c:v>
                </c:pt>
                <c:pt idx="1">
                  <c:v>0</c:v>
                </c:pt>
                <c:pt idx="2">
                  <c:v>4.1666666666666664E-2</c:v>
                </c:pt>
                <c:pt idx="3">
                  <c:v>7.6923076923076927E-2</c:v>
                </c:pt>
                <c:pt idx="4">
                  <c:v>0</c:v>
                </c:pt>
                <c:pt idx="5">
                  <c:v>4.1666666666666664E-2</c:v>
                </c:pt>
              </c:numCache>
            </c:numRef>
          </c:val>
          <c:extLst>
            <c:ext xmlns:c16="http://schemas.microsoft.com/office/drawing/2014/chart" uri="{C3380CC4-5D6E-409C-BE32-E72D297353CC}">
              <c16:uniqueId val="{00000001-2893-4213-8AC2-4A322D298431}"/>
            </c:ext>
          </c:extLst>
        </c:ser>
        <c:ser>
          <c:idx val="3"/>
          <c:order val="3"/>
          <c:tx>
            <c:strRef>
              <c:f>'Class Summary'!$G$18</c:f>
              <c:strCache>
                <c:ptCount val="1"/>
                <c:pt idx="0">
                  <c:v>Grade Ready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Summary'!$G$19:$G$24</c:f>
              <c:numCache>
                <c:formatCode>0%</c:formatCode>
                <c:ptCount val="6"/>
                <c:pt idx="0">
                  <c:v>0.46153846153846156</c:v>
                </c:pt>
                <c:pt idx="1">
                  <c:v>0.54545454545454541</c:v>
                </c:pt>
                <c:pt idx="2">
                  <c:v>0.5</c:v>
                </c:pt>
                <c:pt idx="3">
                  <c:v>0.46153846153846156</c:v>
                </c:pt>
                <c:pt idx="4">
                  <c:v>0.54545454545454541</c:v>
                </c:pt>
                <c:pt idx="5">
                  <c:v>0.5</c:v>
                </c:pt>
              </c:numCache>
            </c:numRef>
          </c:val>
          <c:extLst>
            <c:ext xmlns:c16="http://schemas.microsoft.com/office/drawing/2014/chart" uri="{C3380CC4-5D6E-409C-BE32-E72D297353CC}">
              <c16:uniqueId val="{00000002-2893-4213-8AC2-4A322D298431}"/>
            </c:ext>
          </c:extLst>
        </c:ser>
        <c:dLbls>
          <c:dLblPos val="outEnd"/>
          <c:showLegendKey val="0"/>
          <c:showVal val="1"/>
          <c:showCatName val="0"/>
          <c:showSerName val="0"/>
          <c:showPercent val="0"/>
          <c:showBubbleSize val="0"/>
        </c:dLbls>
        <c:gapWidth val="219"/>
        <c:overlap val="-27"/>
        <c:axId val="194928544"/>
        <c:axId val="194934368"/>
        <c:extLst/>
      </c:barChart>
      <c:catAx>
        <c:axId val="19492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34368"/>
        <c:crosses val="autoZero"/>
        <c:auto val="1"/>
        <c:lblAlgn val="ctr"/>
        <c:lblOffset val="100"/>
        <c:noMultiLvlLbl val="0"/>
      </c:catAx>
      <c:valAx>
        <c:axId val="19493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285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3687577373912164"/>
          <c:y val="0.27247273154613705"/>
          <c:w val="0.58518877316998708"/>
          <c:h val="0.52127123878447335"/>
        </c:manualLayout>
      </c:layout>
      <c:pieChart>
        <c:varyColors val="1"/>
        <c:ser>
          <c:idx val="0"/>
          <c:order val="0"/>
          <c:tx>
            <c:strRef>
              <c:f>'Class Summary'!$G$6</c:f>
              <c:strCache>
                <c:ptCount val="1"/>
                <c:pt idx="0">
                  <c:v>Number of Learners Assessed</c:v>
                </c:pt>
              </c:strCache>
            </c:strRef>
          </c:tx>
          <c:spPr>
            <a:solidFill>
              <a:srgbClr val="FF0000"/>
            </a:solidFill>
          </c:spPr>
          <c:explosion val="7"/>
          <c:dPt>
            <c:idx val="0"/>
            <c:bubble3D val="0"/>
            <c:spPr>
              <a:solidFill>
                <a:srgbClr val="0070C0"/>
              </a:solidFill>
              <a:ln w="19050">
                <a:solidFill>
                  <a:schemeClr val="lt1"/>
                </a:solidFill>
              </a:ln>
              <a:effectLst/>
            </c:spPr>
            <c:extLst>
              <c:ext xmlns:c16="http://schemas.microsoft.com/office/drawing/2014/chart" uri="{C3380CC4-5D6E-409C-BE32-E72D297353CC}">
                <c16:uniqueId val="{00000001-D83A-4FFF-A0F9-FBE089982E18}"/>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2-D83A-4FFF-A0F9-FBE089982E18}"/>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'Class Summary'!$E$7:$E$9</c15:sqref>
                  </c15:fullRef>
                </c:ext>
              </c:extLst>
              <c:f>'Class Summary'!$E$8:$E$9</c:f>
              <c:strCache>
                <c:ptCount val="2"/>
                <c:pt idx="0">
                  <c:v>Male</c:v>
                </c:pt>
                <c:pt idx="1">
                  <c:v>Female</c:v>
                </c:pt>
              </c:strCache>
            </c:strRef>
          </c:cat>
          <c:val>
            <c:numRef>
              <c:extLst>
                <c:ext xmlns:c15="http://schemas.microsoft.com/office/drawing/2012/chart" uri="{02D57815-91ED-43cb-92C2-25804820EDAC}">
                  <c15:fullRef>
                    <c15:sqref>'Class Summary'!$G$7:$G$9</c15:sqref>
                  </c15:fullRef>
                </c:ext>
              </c:extLst>
              <c:f>'Class Summary'!$G$8:$G$9</c:f>
              <c:numCache>
                <c:formatCode>General</c:formatCode>
                <c:ptCount val="2"/>
                <c:pt idx="0">
                  <c:v>13</c:v>
                </c:pt>
                <c:pt idx="1">
                  <c:v>11</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D83A-4FFF-A0F9-FBE089982E1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0.30494602426568612"/>
          <c:y val="0.80684492168603905"/>
          <c:w val="0.46427377056976349"/>
          <c:h val="8.3716749704153326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Grade 2 Learners Assessed In</a:t>
            </a:r>
            <a:r>
              <a:rPr lang="en-US" baseline="0"/>
              <a:t> Mother Tongue and Filipino</a:t>
            </a:r>
          </a:p>
          <a:p>
            <a:pPr>
              <a:defRPr/>
            </a:pPr>
            <a:r>
              <a:rPr lang="en-US" baseline="0"/>
              <a:t>By Reading Profile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'Class Summary'!$K$18</c:f>
              <c:strCache>
                <c:ptCount val="1"/>
                <c:pt idx="0">
                  <c:v>Low Emerging Reader</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Summary'!$K$19:$K$24</c:f>
              <c:numCache>
                <c:formatCode>0%</c:formatCode>
                <c:ptCount val="6"/>
                <c:pt idx="0">
                  <c:v>0.46153846153846156</c:v>
                </c:pt>
                <c:pt idx="1">
                  <c:v>0.45454545454545453</c:v>
                </c:pt>
                <c:pt idx="2">
                  <c:v>0.45833333333333331</c:v>
                </c:pt>
                <c:pt idx="3">
                  <c:v>0.46153846153846156</c:v>
                </c:pt>
                <c:pt idx="4">
                  <c:v>0.45454545454545453</c:v>
                </c:pt>
                <c:pt idx="5">
                  <c:v>0.45833333333333331</c:v>
                </c:pt>
              </c:numCache>
            </c:numRef>
          </c:val>
          <c:extLst>
            <c:ext xmlns:c16="http://schemas.microsoft.com/office/drawing/2014/chart" uri="{C3380CC4-5D6E-409C-BE32-E72D297353CC}">
              <c16:uniqueId val="{00000000-EE2E-4A53-A42F-0B8EBCEEF6A2}"/>
            </c:ext>
          </c:extLst>
        </c:ser>
        <c:ser>
          <c:idx val="1"/>
          <c:order val="1"/>
          <c:tx>
            <c:strRef>
              <c:f>'Class Summary'!$L$18</c:f>
              <c:strCache>
                <c:ptCount val="1"/>
                <c:pt idx="0">
                  <c:v>High Emerging Reader</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Summary'!$L$19:$L$24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1434-4FED-B4F3-4CC6ED716A11}"/>
            </c:ext>
          </c:extLst>
        </c:ser>
        <c:ser>
          <c:idx val="2"/>
          <c:order val="2"/>
          <c:tx>
            <c:strRef>
              <c:f>'Class Summary'!$M$18</c:f>
              <c:strCache>
                <c:ptCount val="1"/>
                <c:pt idx="0">
                  <c:v>Developing Reader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Summary'!$M$19:$M$24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1434-4FED-B4F3-4CC6ED716A11}"/>
            </c:ext>
          </c:extLst>
        </c:ser>
        <c:ser>
          <c:idx val="3"/>
          <c:order val="3"/>
          <c:tx>
            <c:strRef>
              <c:f>'Class Summary'!$N$18</c:f>
              <c:strCache>
                <c:ptCount val="1"/>
                <c:pt idx="0">
                  <c:v>Transitioning Reader</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Summary'!$N$19:$N$24</c:f>
              <c:numCache>
                <c:formatCode>0%</c:formatCode>
                <c:ptCount val="6"/>
                <c:pt idx="0">
                  <c:v>0.53846153846153844</c:v>
                </c:pt>
                <c:pt idx="1">
                  <c:v>0.45454545454545453</c:v>
                </c:pt>
                <c:pt idx="2">
                  <c:v>0.5</c:v>
                </c:pt>
                <c:pt idx="3">
                  <c:v>0.53846153846153844</c:v>
                </c:pt>
                <c:pt idx="4">
                  <c:v>0.45454545454545453</c:v>
                </c:pt>
                <c:pt idx="5">
                  <c:v>0.5</c:v>
                </c:pt>
              </c:numCache>
            </c:numRef>
          </c:val>
          <c:extLst>
            <c:ext xmlns:c16="http://schemas.microsoft.com/office/drawing/2014/chart" uri="{C3380CC4-5D6E-409C-BE32-E72D297353CC}">
              <c16:uniqueId val="{00000002-1434-4FED-B4F3-4CC6ED716A11}"/>
            </c:ext>
          </c:extLst>
        </c:ser>
        <c:ser>
          <c:idx val="4"/>
          <c:order val="4"/>
          <c:tx>
            <c:strRef>
              <c:f>'Class Summary'!$O$18</c:f>
              <c:strCache>
                <c:ptCount val="1"/>
                <c:pt idx="0">
                  <c:v>Reading At Grade Level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Summary'!$O$19:$O$24</c:f>
              <c:numCache>
                <c:formatCode>0%</c:formatCode>
                <c:ptCount val="6"/>
                <c:pt idx="0">
                  <c:v>0</c:v>
                </c:pt>
                <c:pt idx="1">
                  <c:v>9.0909090909090912E-2</c:v>
                </c:pt>
                <c:pt idx="2">
                  <c:v>4.1666666666666664E-2</c:v>
                </c:pt>
                <c:pt idx="3">
                  <c:v>0</c:v>
                </c:pt>
                <c:pt idx="4">
                  <c:v>9.0909090909090912E-2</c:v>
                </c:pt>
                <c:pt idx="5">
                  <c:v>4.1666666666666664E-2</c:v>
                </c:pt>
              </c:numCache>
            </c:numRef>
          </c:val>
          <c:extLst>
            <c:ext xmlns:c16="http://schemas.microsoft.com/office/drawing/2014/chart" uri="{C3380CC4-5D6E-409C-BE32-E72D297353CC}">
              <c16:uniqueId val="{00000003-1434-4FED-B4F3-4CC6ED716A11}"/>
            </c:ext>
          </c:extLst>
        </c:ser>
        <c:dLbls>
          <c:dLblPos val="outEnd"/>
          <c:showLegendKey val="0"/>
          <c:showVal val="1"/>
          <c:showCatName val="0"/>
          <c:showSerName val="0"/>
          <c:showPercent val="0"/>
          <c:showBubbleSize val="0"/>
        </c:dLbls>
        <c:gapWidth val="219"/>
        <c:overlap val="-27"/>
        <c:axId val="194928544"/>
        <c:axId val="194934368"/>
        <c:extLst/>
      </c:barChart>
      <c:catAx>
        <c:axId val="19492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4934368"/>
        <c:crosses val="autoZero"/>
        <c:auto val="1"/>
        <c:lblAlgn val="ctr"/>
        <c:lblOffset val="100"/>
        <c:noMultiLvlLbl val="0"/>
      </c:catAx>
      <c:valAx>
        <c:axId val="19493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285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Reading Fluency and Comprehension Average Percentage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'Class Summary'!$H$18</c:f>
              <c:strCache>
                <c:ptCount val="1"/>
                <c:pt idx="0">
                  <c:v>Reading Fluency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Summary'!$H$19:$H$24</c:f>
              <c:numCache>
                <c:formatCode>0%</c:formatCode>
                <c:ptCount val="6"/>
                <c:pt idx="0">
                  <c:v>0.94887218045112776</c:v>
                </c:pt>
                <c:pt idx="1">
                  <c:v>1</c:v>
                </c:pt>
                <c:pt idx="2">
                  <c:v>0.97443609022556388</c:v>
                </c:pt>
                <c:pt idx="3">
                  <c:v>0.94887218045112776</c:v>
                </c:pt>
                <c:pt idx="4">
                  <c:v>1</c:v>
                </c:pt>
                <c:pt idx="5">
                  <c:v>0.97443609022556388</c:v>
                </c:pt>
              </c:numCache>
            </c:numRef>
          </c:val>
          <c:extLst>
            <c:ext xmlns:c16="http://schemas.microsoft.com/office/drawing/2014/chart" uri="{C3380CC4-5D6E-409C-BE32-E72D297353CC}">
              <c16:uniqueId val="{00000000-CF67-476E-B255-200B3CCB4F10}"/>
            </c:ext>
          </c:extLst>
        </c:ser>
        <c:ser>
          <c:idx val="1"/>
          <c:order val="1"/>
          <c:tx>
            <c:strRef>
              <c:f>'Class Summary'!$I$18</c:f>
              <c:strCache>
                <c:ptCount val="1"/>
                <c:pt idx="0">
                  <c:v>Reading Comprehension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Summary'!$I$19:$I$24</c:f>
              <c:numCache>
                <c:formatCode>0%</c:formatCode>
                <c:ptCount val="6"/>
                <c:pt idx="0">
                  <c:v>0.30952380952380948</c:v>
                </c:pt>
                <c:pt idx="1">
                  <c:v>0.55555555555555547</c:v>
                </c:pt>
                <c:pt idx="2">
                  <c:v>0.43253968253968245</c:v>
                </c:pt>
                <c:pt idx="3">
                  <c:v>0.30952380952380948</c:v>
                </c:pt>
                <c:pt idx="4">
                  <c:v>0</c:v>
                </c:pt>
                <c:pt idx="5">
                  <c:v>0</c:v>
                </c:pt>
              </c:numCache>
            </c:numRef>
          </c:val>
          <c:extLst>
            <c:ext xmlns:c16="http://schemas.microsoft.com/office/drawing/2014/chart" uri="{C3380CC4-5D6E-409C-BE32-E72D297353CC}">
              <c16:uniqueId val="{00000004-CF67-476E-B255-200B3CCB4F10}"/>
            </c:ext>
          </c:extLst>
        </c:ser>
        <c:dLbls>
          <c:dLblPos val="outEnd"/>
          <c:showLegendKey val="0"/>
          <c:showVal val="1"/>
          <c:showCatName val="0"/>
          <c:showSerName val="0"/>
          <c:showPercent val="0"/>
          <c:showBubbleSize val="0"/>
        </c:dLbls>
        <c:gapWidth val="219"/>
        <c:overlap val="-27"/>
        <c:axId val="194928544"/>
        <c:axId val="194934368"/>
        <c:extLst/>
      </c:barChart>
      <c:catAx>
        <c:axId val="19492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34368"/>
        <c:crosses val="autoZero"/>
        <c:auto val="1"/>
        <c:lblAlgn val="ctr"/>
        <c:lblOffset val="100"/>
        <c:noMultiLvlLbl val="0"/>
      </c:catAx>
      <c:valAx>
        <c:axId val="19493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285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Reading Fluency and Comprehension Average Words Per Minute</a:t>
            </a:r>
            <a:endParaRPr lang="en-US"/>
          </a:p>
        </c:rich>
      </c:tx>
      <c:layout>
        <c:manualLayout>
          <c:xMode val="edge"/>
          <c:yMode val="edge"/>
          <c:x val="0.14729887035536365"/>
          <c:y val="2.85612281328097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'Class Summary'!$J$18</c:f>
              <c:strCache>
                <c:ptCount val="1"/>
                <c:pt idx="0">
                  <c:v>Words Per Minute</c:v>
                </c:pt>
              </c:strCache>
            </c:strRef>
          </c:tx>
          <c:spPr>
            <a:solidFill>
              <a:schemeClr val="accent1"/>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2-A69C-4949-A272-2101F0D99A01}"/>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0-A69C-4949-A272-2101F0D99A01}"/>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3-A69C-4949-A272-2101F0D99A01}"/>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1-A69C-4949-A272-2101F0D99A01}"/>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'Class Summary'!$A$19:$B$24</c:f>
              <c:multiLvlStrCache>
                <c:ptCount val="6"/>
                <c:lvl>
                  <c:pt idx="0">
                    <c:v>Male</c:v>
                  </c:pt>
                  <c:pt idx="1">
                    <c:v>Female</c:v>
                  </c:pt>
                  <c:pt idx="2">
                    <c:v>Total</c:v>
                  </c:pt>
                  <c:pt idx="3">
                    <c:v>Male</c:v>
                  </c:pt>
                  <c:pt idx="4">
                    <c:v>Female</c:v>
                  </c:pt>
                  <c:pt idx="5">
                    <c:v>Total</c:v>
                  </c:pt>
                </c:lvl>
                <c:lvl>
                  <c:pt idx="0">
                    <c:v>Tagalog</c:v>
                  </c:pt>
                  <c:pt idx="1">
                    <c:v>Tagalog</c:v>
                  </c:pt>
                  <c:pt idx="2">
                    <c:v>Tagalog</c:v>
                  </c:pt>
                  <c:pt idx="3">
                    <c:v>Filipino</c:v>
                  </c:pt>
                  <c:pt idx="4">
                    <c:v>Filipino</c:v>
                  </c:pt>
                  <c:pt idx="5">
                    <c:v>Filipino</c:v>
                  </c:pt>
                </c:lvl>
              </c:multiLvlStrCache>
            </c:multiLvlStrRef>
          </c:cat>
          <c:val>
            <c:numRef>
              <c:f>'Class Summary'!$J$19:$J$24</c:f>
              <c:numCache>
                <c:formatCode>0.00</c:formatCode>
                <c:ptCount val="6"/>
                <c:pt idx="0">
                  <c:v>45.071428571428569</c:v>
                </c:pt>
                <c:pt idx="1">
                  <c:v>47.566526610644253</c:v>
                </c:pt>
                <c:pt idx="2">
                  <c:v>46.318977591036415</c:v>
                </c:pt>
                <c:pt idx="3">
                  <c:v>45.071428571428569</c:v>
                </c:pt>
                <c:pt idx="4">
                  <c:v>47.566526610644253</c:v>
                </c:pt>
                <c:pt idx="5">
                  <c:v>46.318977591036415</c:v>
                </c:pt>
              </c:numCache>
            </c:numRef>
          </c:val>
          <c:extLst>
            <c:ext xmlns:c16="http://schemas.microsoft.com/office/drawing/2014/chart" uri="{C3380CC4-5D6E-409C-BE32-E72D297353CC}">
              <c16:uniqueId val="{00000000-B575-4EE6-BC0B-8957C72C47FC}"/>
            </c:ext>
          </c:extLst>
        </c:ser>
        <c:dLbls>
          <c:dLblPos val="outEnd"/>
          <c:showLegendKey val="0"/>
          <c:showVal val="1"/>
          <c:showCatName val="0"/>
          <c:showSerName val="0"/>
          <c:showPercent val="0"/>
          <c:showBubbleSize val="0"/>
        </c:dLbls>
        <c:gapWidth val="219"/>
        <c:overlap val="-27"/>
        <c:axId val="194928544"/>
        <c:axId val="194934368"/>
        <c:extLst/>
      </c:barChart>
      <c:catAx>
        <c:axId val="19492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34368"/>
        <c:crosses val="autoZero"/>
        <c:auto val="1"/>
        <c:lblAlgn val="ctr"/>
        <c:lblOffset val="100"/>
        <c:noMultiLvlLbl val="0"/>
      </c:catAx>
      <c:valAx>
        <c:axId val="1949343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28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image" Target="../media/image7.png"/><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xdr:from>
      <xdr:col>7</xdr:col>
      <xdr:colOff>106680</xdr:colOff>
      <xdr:row>115</xdr:row>
      <xdr:rowOff>30480</xdr:rowOff>
    </xdr:from>
    <xdr:ext cx="184731" cy="264560"/>
    <xdr:sp macro="" textlink="">
      <xdr:nvSpPr>
        <xdr:cNvPr id="6" name="TextBox 5">
          <a:extLst>
            <a:ext uri="{FF2B5EF4-FFF2-40B4-BE49-F238E27FC236}">
              <a16:creationId xmlns:a16="http://schemas.microsoft.com/office/drawing/2014/main" id="{73A6197B-04EC-4177-9CF2-F640343ADA47}"/>
            </a:ext>
          </a:extLst>
        </xdr:cNvPr>
        <xdr:cNvSpPr txBox="1"/>
      </xdr:nvSpPr>
      <xdr:spPr>
        <a:xfrm>
          <a:off x="7002780" y="139750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PH" sz="1100"/>
        </a:p>
      </xdr:txBody>
    </xdr:sp>
    <xdr:clientData/>
  </xdr:oneCellAnchor>
  <xdr:twoCellAnchor>
    <xdr:from>
      <xdr:col>0</xdr:col>
      <xdr:colOff>76199</xdr:colOff>
      <xdr:row>110</xdr:row>
      <xdr:rowOff>91440</xdr:rowOff>
    </xdr:from>
    <xdr:to>
      <xdr:col>9</xdr:col>
      <xdr:colOff>1133474</xdr:colOff>
      <xdr:row>113</xdr:row>
      <xdr:rowOff>38100</xdr:rowOff>
    </xdr:to>
    <xdr:sp macro="" textlink="">
      <xdr:nvSpPr>
        <xdr:cNvPr id="11" name="TextBox 10">
          <a:extLst>
            <a:ext uri="{FF2B5EF4-FFF2-40B4-BE49-F238E27FC236}">
              <a16:creationId xmlns:a16="http://schemas.microsoft.com/office/drawing/2014/main" id="{BBBD7262-22D1-4548-966A-8F71F37DAA0F}"/>
            </a:ext>
          </a:extLst>
        </xdr:cNvPr>
        <xdr:cNvSpPr txBox="1"/>
      </xdr:nvSpPr>
      <xdr:spPr>
        <a:xfrm>
          <a:off x="76199" y="20913090"/>
          <a:ext cx="8582025" cy="4895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900"/>
            <a:t>This Scoresheet is made possible with the assistance of USAID through </a:t>
          </a:r>
          <a:r>
            <a:rPr lang="en-PH" sz="900">
              <a:solidFill>
                <a:srgbClr val="FF0000"/>
              </a:solidFill>
            </a:rPr>
            <a:t>ABC+:</a:t>
          </a:r>
          <a:r>
            <a:rPr lang="en-PH" sz="900">
              <a:solidFill>
                <a:srgbClr val="0070C0"/>
              </a:solidFill>
            </a:rPr>
            <a:t> Advancing Basic Education in the Philippines</a:t>
          </a:r>
          <a:r>
            <a:rPr lang="en-PH" sz="900"/>
            <a:t>. ABC+ Project is an early grades education project of the Department of Education in partnership with USAID and implemented by RTI International together with The Asia Foundation, SIL LEAD, and Florida State University.</a:t>
          </a:r>
        </a:p>
      </xdr:txBody>
    </xdr:sp>
    <xdr:clientData/>
  </xdr:twoCellAnchor>
  <xdr:twoCellAnchor editAs="oneCell">
    <xdr:from>
      <xdr:col>20</xdr:col>
      <xdr:colOff>848360</xdr:colOff>
      <xdr:row>110</xdr:row>
      <xdr:rowOff>57150</xdr:rowOff>
    </xdr:from>
    <xdr:to>
      <xdr:col>21</xdr:col>
      <xdr:colOff>1504950</xdr:colOff>
      <xdr:row>113</xdr:row>
      <xdr:rowOff>137159</xdr:rowOff>
    </xdr:to>
    <xdr:pic>
      <xdr:nvPicPr>
        <xdr:cNvPr id="14" name="Picture 13">
          <a:extLst>
            <a:ext uri="{FF2B5EF4-FFF2-40B4-BE49-F238E27FC236}">
              <a16:creationId xmlns:a16="http://schemas.microsoft.com/office/drawing/2014/main" id="{2FEBAA6E-FD4F-4DB7-B5ED-A9CA289EB0EA}"/>
            </a:ext>
          </a:extLst>
        </xdr:cNvPr>
        <xdr:cNvPicPr>
          <a:picLocks noChangeAspect="1"/>
        </xdr:cNvPicPr>
      </xdr:nvPicPr>
      <xdr:blipFill>
        <a:blip xmlns:r="http://schemas.openxmlformats.org/officeDocument/2006/relationships" r:embed="rId1"/>
        <a:stretch>
          <a:fillRect/>
        </a:stretch>
      </xdr:blipFill>
      <xdr:spPr>
        <a:xfrm>
          <a:off x="16050260" y="21116925"/>
          <a:ext cx="2243455" cy="626744"/>
        </a:xfrm>
        <a:prstGeom prst="rect">
          <a:avLst/>
        </a:prstGeom>
        <a:noFill/>
        <a:ln>
          <a:noFill/>
        </a:ln>
      </xdr:spPr>
    </xdr:pic>
    <xdr:clientData/>
  </xdr:twoCellAnchor>
  <xdr:twoCellAnchor>
    <xdr:from>
      <xdr:col>18</xdr:col>
      <xdr:colOff>0</xdr:colOff>
      <xdr:row>3</xdr:row>
      <xdr:rowOff>53340</xdr:rowOff>
    </xdr:from>
    <xdr:to>
      <xdr:col>21</xdr:col>
      <xdr:colOff>1950720</xdr:colOff>
      <xdr:row>4</xdr:row>
      <xdr:rowOff>152400</xdr:rowOff>
    </xdr:to>
    <xdr:sp macro="" textlink="">
      <xdr:nvSpPr>
        <xdr:cNvPr id="17" name="TextBox 16">
          <a:extLst>
            <a:ext uri="{FF2B5EF4-FFF2-40B4-BE49-F238E27FC236}">
              <a16:creationId xmlns:a16="http://schemas.microsoft.com/office/drawing/2014/main" id="{CC695B5C-B19C-C6BF-546C-B8D771CB68E6}"/>
            </a:ext>
          </a:extLst>
        </xdr:cNvPr>
        <xdr:cNvSpPr txBox="1"/>
      </xdr:nvSpPr>
      <xdr:spPr>
        <a:xfrm>
          <a:off x="13319760" y="906780"/>
          <a:ext cx="5958840" cy="33528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1800" b="1">
              <a:solidFill>
                <a:schemeClr val="bg1"/>
              </a:solidFill>
            </a:rPr>
            <a:t>GRADE 2  Mother Tongue Reading Assessment Scoresheet</a:t>
          </a:r>
        </a:p>
      </xdr:txBody>
    </xdr:sp>
    <xdr:clientData/>
  </xdr:twoCellAnchor>
  <xdr:twoCellAnchor>
    <xdr:from>
      <xdr:col>20</xdr:col>
      <xdr:colOff>533400</xdr:colOff>
      <xdr:row>0</xdr:row>
      <xdr:rowOff>95250</xdr:rowOff>
    </xdr:from>
    <xdr:to>
      <xdr:col>21</xdr:col>
      <xdr:colOff>2292484</xdr:colOff>
      <xdr:row>2</xdr:row>
      <xdr:rowOff>228048</xdr:rowOff>
    </xdr:to>
    <xdr:grpSp>
      <xdr:nvGrpSpPr>
        <xdr:cNvPr id="2" name="Group 1">
          <a:extLst>
            <a:ext uri="{FF2B5EF4-FFF2-40B4-BE49-F238E27FC236}">
              <a16:creationId xmlns:a16="http://schemas.microsoft.com/office/drawing/2014/main" id="{C7CD777B-9C13-4F36-B8C6-E0B25E29CB31}"/>
            </a:ext>
          </a:extLst>
        </xdr:cNvPr>
        <xdr:cNvGrpSpPr/>
      </xdr:nvGrpSpPr>
      <xdr:grpSpPr>
        <a:xfrm>
          <a:off x="15902049" y="95250"/>
          <a:ext cx="3362253" cy="637499"/>
          <a:chOff x="16253460" y="45720"/>
          <a:chExt cx="3198311" cy="645560"/>
        </a:xfrm>
      </xdr:grpSpPr>
      <xdr:pic>
        <xdr:nvPicPr>
          <xdr:cNvPr id="8" name="Picture 7">
            <a:extLst>
              <a:ext uri="{FF2B5EF4-FFF2-40B4-BE49-F238E27FC236}">
                <a16:creationId xmlns:a16="http://schemas.microsoft.com/office/drawing/2014/main" id="{E1A572F4-874A-6273-A5B4-68516DABB704}"/>
              </a:ext>
            </a:extLst>
          </xdr:cNvPr>
          <xdr:cNvPicPr>
            <a:picLocks noChangeAspect="1"/>
          </xdr:cNvPicPr>
        </xdr:nvPicPr>
        <xdr:blipFill>
          <a:blip xmlns:r="http://schemas.openxmlformats.org/officeDocument/2006/relationships" r:embed="rId1"/>
          <a:stretch>
            <a:fillRect/>
          </a:stretch>
        </xdr:blipFill>
        <xdr:spPr>
          <a:xfrm>
            <a:off x="16524208" y="45720"/>
            <a:ext cx="2551828" cy="480696"/>
          </a:xfrm>
          <a:prstGeom prst="rect">
            <a:avLst/>
          </a:prstGeom>
          <a:noFill/>
          <a:ln>
            <a:noFill/>
          </a:ln>
        </xdr:spPr>
      </xdr:pic>
      <xdr:sp macro="" textlink="">
        <xdr:nvSpPr>
          <xdr:cNvPr id="9" name="TextBox 8">
            <a:extLst>
              <a:ext uri="{FF2B5EF4-FFF2-40B4-BE49-F238E27FC236}">
                <a16:creationId xmlns:a16="http://schemas.microsoft.com/office/drawing/2014/main" id="{34126952-44C3-BA20-7B21-A54E4D3B776B}"/>
              </a:ext>
            </a:extLst>
          </xdr:cNvPr>
          <xdr:cNvSpPr txBox="1"/>
        </xdr:nvSpPr>
        <xdr:spPr>
          <a:xfrm>
            <a:off x="16253460" y="426720"/>
            <a:ext cx="319831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PH" sz="1100" b="1">
                <a:solidFill>
                  <a:srgbClr val="FF0000"/>
                </a:solidFill>
              </a:rPr>
              <a:t>ABC+</a:t>
            </a:r>
            <a:r>
              <a:rPr lang="en-PH" sz="1100" b="1" baseline="0">
                <a:solidFill>
                  <a:srgbClr val="FF0000"/>
                </a:solidFill>
              </a:rPr>
              <a:t> : </a:t>
            </a:r>
            <a:r>
              <a:rPr lang="en-PH" sz="1100" b="1" baseline="0">
                <a:solidFill>
                  <a:srgbClr val="0070C0"/>
                </a:solidFill>
              </a:rPr>
              <a:t>Advancing Basic Education in the Philippines</a:t>
            </a:r>
            <a:endParaRPr lang="en-PH" sz="1100" b="1">
              <a:solidFill>
                <a:srgbClr val="0070C0"/>
              </a:solidFill>
            </a:endParaRPr>
          </a:p>
        </xdr:txBody>
      </xdr:sp>
    </xdr:grpSp>
    <xdr:clientData/>
  </xdr:twoCellAnchor>
  <xdr:twoCellAnchor>
    <xdr:from>
      <xdr:col>3</xdr:col>
      <xdr:colOff>148591</xdr:colOff>
      <xdr:row>0</xdr:row>
      <xdr:rowOff>92232</xdr:rowOff>
    </xdr:from>
    <xdr:to>
      <xdr:col>12</xdr:col>
      <xdr:colOff>617220</xdr:colOff>
      <xdr:row>2</xdr:row>
      <xdr:rowOff>325755</xdr:rowOff>
    </xdr:to>
    <xdr:grpSp>
      <xdr:nvGrpSpPr>
        <xdr:cNvPr id="12" name="Group 11">
          <a:extLst>
            <a:ext uri="{FF2B5EF4-FFF2-40B4-BE49-F238E27FC236}">
              <a16:creationId xmlns:a16="http://schemas.microsoft.com/office/drawing/2014/main" id="{2942DD74-31DD-6EF9-65D4-181F7221E7F0}"/>
            </a:ext>
          </a:extLst>
        </xdr:cNvPr>
        <xdr:cNvGrpSpPr/>
      </xdr:nvGrpSpPr>
      <xdr:grpSpPr>
        <a:xfrm>
          <a:off x="3592435" y="92232"/>
          <a:ext cx="7336525" cy="738224"/>
          <a:chOff x="3408046" y="50322"/>
          <a:chExt cx="7315199" cy="755493"/>
        </a:xfrm>
      </xdr:grpSpPr>
      <xdr:sp macro="" textlink="">
        <xdr:nvSpPr>
          <xdr:cNvPr id="5" name="TextBox 4">
            <a:extLst>
              <a:ext uri="{FF2B5EF4-FFF2-40B4-BE49-F238E27FC236}">
                <a16:creationId xmlns:a16="http://schemas.microsoft.com/office/drawing/2014/main" id="{FBB8382C-B4C9-458D-8D2D-18A77E20D265}"/>
              </a:ext>
            </a:extLst>
          </xdr:cNvPr>
          <xdr:cNvSpPr txBox="1"/>
        </xdr:nvSpPr>
        <xdr:spPr>
          <a:xfrm>
            <a:off x="4274756" y="117677"/>
            <a:ext cx="6448489" cy="68813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n-PH" sz="1800" b="1"/>
              <a:t>Department of Education</a:t>
            </a:r>
          </a:p>
          <a:p>
            <a:pPr algn="l"/>
            <a:r>
              <a:rPr lang="en-PH" sz="1800" b="1"/>
              <a:t>Comprehensive Rapid Literacy Assessment (CRLA)</a:t>
            </a:r>
          </a:p>
        </xdr:txBody>
      </xdr:sp>
      <xdr:pic>
        <xdr:nvPicPr>
          <xdr:cNvPr id="7" name="Picture 6">
            <a:extLst>
              <a:ext uri="{FF2B5EF4-FFF2-40B4-BE49-F238E27FC236}">
                <a16:creationId xmlns:a16="http://schemas.microsoft.com/office/drawing/2014/main" id="{FAF350F5-563A-AF1A-C766-A6C86183E03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408046" y="50322"/>
            <a:ext cx="859154" cy="746768"/>
          </a:xfrm>
          <a:prstGeom prst="rect">
            <a:avLst/>
          </a:prstGeom>
        </xdr:spPr>
      </xdr:pic>
    </xdr:grpSp>
    <xdr:clientData/>
  </xdr:twoCellAnchor>
  <xdr:twoCellAnchor editAs="oneCell">
    <xdr:from>
      <xdr:col>16</xdr:col>
      <xdr:colOff>22859</xdr:colOff>
      <xdr:row>5</xdr:row>
      <xdr:rowOff>19051</xdr:rowOff>
    </xdr:from>
    <xdr:to>
      <xdr:col>22</xdr:col>
      <xdr:colOff>697</xdr:colOff>
      <xdr:row>9</xdr:row>
      <xdr:rowOff>0</xdr:rowOff>
    </xdr:to>
    <xdr:pic>
      <xdr:nvPicPr>
        <xdr:cNvPr id="10" name="Picture 9">
          <a:extLst>
            <a:ext uri="{FF2B5EF4-FFF2-40B4-BE49-F238E27FC236}">
              <a16:creationId xmlns:a16="http://schemas.microsoft.com/office/drawing/2014/main" id="{DE487C47-570C-51A4-1E2D-0D2395380505}"/>
            </a:ext>
          </a:extLst>
        </xdr:cNvPr>
        <xdr:cNvPicPr>
          <a:picLocks noChangeAspect="1"/>
        </xdr:cNvPicPr>
      </xdr:nvPicPr>
      <xdr:blipFill>
        <a:blip xmlns:r="http://schemas.openxmlformats.org/officeDocument/2006/relationships" r:embed="rId3"/>
        <a:stretch>
          <a:fillRect/>
        </a:stretch>
      </xdr:blipFill>
      <xdr:spPr>
        <a:xfrm>
          <a:off x="12272009" y="1343026"/>
          <a:ext cx="6816091" cy="11620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106680</xdr:colOff>
      <xdr:row>115</xdr:row>
      <xdr:rowOff>30480</xdr:rowOff>
    </xdr:from>
    <xdr:ext cx="184731" cy="264560"/>
    <xdr:sp macro="" textlink="">
      <xdr:nvSpPr>
        <xdr:cNvPr id="2" name="TextBox 1">
          <a:extLst>
            <a:ext uri="{FF2B5EF4-FFF2-40B4-BE49-F238E27FC236}">
              <a16:creationId xmlns:a16="http://schemas.microsoft.com/office/drawing/2014/main" id="{771277BE-0012-4166-9727-9C9198B58366}"/>
            </a:ext>
          </a:extLst>
        </xdr:cNvPr>
        <xdr:cNvSpPr txBox="1"/>
      </xdr:nvSpPr>
      <xdr:spPr>
        <a:xfrm>
          <a:off x="6496050" y="21878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PH" sz="1100"/>
        </a:p>
      </xdr:txBody>
    </xdr:sp>
    <xdr:clientData/>
  </xdr:oneCellAnchor>
  <xdr:twoCellAnchor>
    <xdr:from>
      <xdr:col>0</xdr:col>
      <xdr:colOff>76199</xdr:colOff>
      <xdr:row>110</xdr:row>
      <xdr:rowOff>95250</xdr:rowOff>
    </xdr:from>
    <xdr:to>
      <xdr:col>9</xdr:col>
      <xdr:colOff>1304925</xdr:colOff>
      <xdr:row>113</xdr:row>
      <xdr:rowOff>38100</xdr:rowOff>
    </xdr:to>
    <xdr:sp macro="" textlink="">
      <xdr:nvSpPr>
        <xdr:cNvPr id="3" name="TextBox 2">
          <a:extLst>
            <a:ext uri="{FF2B5EF4-FFF2-40B4-BE49-F238E27FC236}">
              <a16:creationId xmlns:a16="http://schemas.microsoft.com/office/drawing/2014/main" id="{366CEC6F-3BD6-4AF0-BB04-DCD1002F935A}"/>
            </a:ext>
          </a:extLst>
        </xdr:cNvPr>
        <xdr:cNvSpPr txBox="1"/>
      </xdr:nvSpPr>
      <xdr:spPr>
        <a:xfrm>
          <a:off x="76199" y="21069300"/>
          <a:ext cx="8829676"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900"/>
            <a:t>This Scoresheet is made possible with the assistance of USAID through </a:t>
          </a:r>
          <a:r>
            <a:rPr lang="en-PH" sz="900">
              <a:solidFill>
                <a:srgbClr val="FF0000"/>
              </a:solidFill>
            </a:rPr>
            <a:t>ABC+:</a:t>
          </a:r>
          <a:r>
            <a:rPr lang="en-PH" sz="900">
              <a:solidFill>
                <a:srgbClr val="0070C0"/>
              </a:solidFill>
            </a:rPr>
            <a:t> Advancing Basic Education in the Philippines</a:t>
          </a:r>
          <a:r>
            <a:rPr lang="en-PH" sz="900"/>
            <a:t>. ABC+ Project is an early grades education project of the Department of Education in partnership with USAID and implemented by RTI International together with The Asia Foundation, SIL LEAD, and Florida State University.</a:t>
          </a:r>
        </a:p>
      </xdr:txBody>
    </xdr:sp>
    <xdr:clientData/>
  </xdr:twoCellAnchor>
  <xdr:twoCellAnchor editAs="oneCell">
    <xdr:from>
      <xdr:col>20</xdr:col>
      <xdr:colOff>549275</xdr:colOff>
      <xdr:row>110</xdr:row>
      <xdr:rowOff>15241</xdr:rowOff>
    </xdr:from>
    <xdr:to>
      <xdr:col>21</xdr:col>
      <xdr:colOff>1352550</xdr:colOff>
      <xdr:row>113</xdr:row>
      <xdr:rowOff>19050</xdr:rowOff>
    </xdr:to>
    <xdr:pic>
      <xdr:nvPicPr>
        <xdr:cNvPr id="4" name="Picture 3">
          <a:extLst>
            <a:ext uri="{FF2B5EF4-FFF2-40B4-BE49-F238E27FC236}">
              <a16:creationId xmlns:a16="http://schemas.microsoft.com/office/drawing/2014/main" id="{467F7269-94F4-4B2E-A01C-90C6413A615B}"/>
            </a:ext>
          </a:extLst>
        </xdr:cNvPr>
        <xdr:cNvPicPr>
          <a:picLocks noChangeAspect="1"/>
        </xdr:cNvPicPr>
      </xdr:nvPicPr>
      <xdr:blipFill>
        <a:blip xmlns:r="http://schemas.openxmlformats.org/officeDocument/2006/relationships" r:embed="rId1"/>
        <a:stretch>
          <a:fillRect/>
        </a:stretch>
      </xdr:blipFill>
      <xdr:spPr>
        <a:xfrm>
          <a:off x="15865475" y="20989291"/>
          <a:ext cx="2237740" cy="542924"/>
        </a:xfrm>
        <a:prstGeom prst="rect">
          <a:avLst/>
        </a:prstGeom>
        <a:noFill/>
        <a:ln>
          <a:noFill/>
        </a:ln>
      </xdr:spPr>
    </xdr:pic>
    <xdr:clientData/>
  </xdr:twoCellAnchor>
  <xdr:twoCellAnchor>
    <xdr:from>
      <xdr:col>4</xdr:col>
      <xdr:colOff>325691</xdr:colOff>
      <xdr:row>0</xdr:row>
      <xdr:rowOff>66242</xdr:rowOff>
    </xdr:from>
    <xdr:to>
      <xdr:col>13</xdr:col>
      <xdr:colOff>93345</xdr:colOff>
      <xdr:row>2</xdr:row>
      <xdr:rowOff>240030</xdr:rowOff>
    </xdr:to>
    <xdr:sp macro="" textlink="">
      <xdr:nvSpPr>
        <xdr:cNvPr id="5" name="TextBox 4">
          <a:extLst>
            <a:ext uri="{FF2B5EF4-FFF2-40B4-BE49-F238E27FC236}">
              <a16:creationId xmlns:a16="http://schemas.microsoft.com/office/drawing/2014/main" id="{B9BEEFFA-1C59-4475-8F70-4FEADC094F22}"/>
            </a:ext>
          </a:extLst>
        </xdr:cNvPr>
        <xdr:cNvSpPr txBox="1"/>
      </xdr:nvSpPr>
      <xdr:spPr>
        <a:xfrm>
          <a:off x="4421441" y="66242"/>
          <a:ext cx="6558979" cy="68813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n-PH" sz="1800" b="1"/>
            <a:t>Department of Education</a:t>
          </a:r>
        </a:p>
        <a:p>
          <a:pPr algn="l"/>
          <a:r>
            <a:rPr lang="en-PH" sz="1800" b="1"/>
            <a:t>Comprehensive Rapid Literacy Assessment (CRLA)</a:t>
          </a:r>
        </a:p>
      </xdr:txBody>
    </xdr:sp>
    <xdr:clientData/>
  </xdr:twoCellAnchor>
  <xdr:twoCellAnchor>
    <xdr:from>
      <xdr:col>18</xdr:col>
      <xdr:colOff>0</xdr:colOff>
      <xdr:row>3</xdr:row>
      <xdr:rowOff>53340</xdr:rowOff>
    </xdr:from>
    <xdr:to>
      <xdr:col>21</xdr:col>
      <xdr:colOff>1950720</xdr:colOff>
      <xdr:row>4</xdr:row>
      <xdr:rowOff>152400</xdr:rowOff>
    </xdr:to>
    <xdr:sp macro="" textlink="">
      <xdr:nvSpPr>
        <xdr:cNvPr id="8" name="TextBox 7">
          <a:extLst>
            <a:ext uri="{FF2B5EF4-FFF2-40B4-BE49-F238E27FC236}">
              <a16:creationId xmlns:a16="http://schemas.microsoft.com/office/drawing/2014/main" id="{B1956A86-CDB7-43F8-8AD3-91019FB6F509}"/>
            </a:ext>
          </a:extLst>
        </xdr:cNvPr>
        <xdr:cNvSpPr txBox="1"/>
      </xdr:nvSpPr>
      <xdr:spPr>
        <a:xfrm>
          <a:off x="14316075" y="914400"/>
          <a:ext cx="5962650" cy="333375"/>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1800" b="1">
              <a:solidFill>
                <a:schemeClr val="bg1"/>
              </a:solidFill>
            </a:rPr>
            <a:t>GRADE 2  Filipino</a:t>
          </a:r>
          <a:r>
            <a:rPr lang="en-PH" sz="1800" b="1" baseline="0">
              <a:solidFill>
                <a:schemeClr val="bg1"/>
              </a:solidFill>
            </a:rPr>
            <a:t> </a:t>
          </a:r>
          <a:r>
            <a:rPr lang="en-PH" sz="1800" b="1">
              <a:solidFill>
                <a:schemeClr val="bg1"/>
              </a:solidFill>
            </a:rPr>
            <a:t>Reading Assessment Scoresheet</a:t>
          </a:r>
        </a:p>
      </xdr:txBody>
    </xdr:sp>
    <xdr:clientData/>
  </xdr:twoCellAnchor>
  <xdr:twoCellAnchor>
    <xdr:from>
      <xdr:col>20</xdr:col>
      <xdr:colOff>533400</xdr:colOff>
      <xdr:row>0</xdr:row>
      <xdr:rowOff>91440</xdr:rowOff>
    </xdr:from>
    <xdr:to>
      <xdr:col>21</xdr:col>
      <xdr:colOff>2294389</xdr:colOff>
      <xdr:row>2</xdr:row>
      <xdr:rowOff>228048</xdr:rowOff>
    </xdr:to>
    <xdr:grpSp>
      <xdr:nvGrpSpPr>
        <xdr:cNvPr id="9" name="Group 8">
          <a:extLst>
            <a:ext uri="{FF2B5EF4-FFF2-40B4-BE49-F238E27FC236}">
              <a16:creationId xmlns:a16="http://schemas.microsoft.com/office/drawing/2014/main" id="{1CBFC361-96F6-4EB3-94F4-1EA307EC0704}"/>
            </a:ext>
          </a:extLst>
        </xdr:cNvPr>
        <xdr:cNvGrpSpPr/>
      </xdr:nvGrpSpPr>
      <xdr:grpSpPr>
        <a:xfrm>
          <a:off x="15812984" y="91440"/>
          <a:ext cx="3205821" cy="641309"/>
          <a:chOff x="16253460" y="45720"/>
          <a:chExt cx="3198311" cy="645560"/>
        </a:xfrm>
      </xdr:grpSpPr>
      <xdr:pic>
        <xdr:nvPicPr>
          <xdr:cNvPr id="10" name="Picture 9">
            <a:extLst>
              <a:ext uri="{FF2B5EF4-FFF2-40B4-BE49-F238E27FC236}">
                <a16:creationId xmlns:a16="http://schemas.microsoft.com/office/drawing/2014/main" id="{099CF05C-40BB-0DEF-6286-270235F40C42}"/>
              </a:ext>
            </a:extLst>
          </xdr:cNvPr>
          <xdr:cNvPicPr>
            <a:picLocks noChangeAspect="1"/>
          </xdr:cNvPicPr>
        </xdr:nvPicPr>
        <xdr:blipFill>
          <a:blip xmlns:r="http://schemas.openxmlformats.org/officeDocument/2006/relationships" r:embed="rId1"/>
          <a:stretch>
            <a:fillRect/>
          </a:stretch>
        </xdr:blipFill>
        <xdr:spPr>
          <a:xfrm>
            <a:off x="16524208" y="45720"/>
            <a:ext cx="2551828" cy="480696"/>
          </a:xfrm>
          <a:prstGeom prst="rect">
            <a:avLst/>
          </a:prstGeom>
          <a:noFill/>
          <a:ln>
            <a:noFill/>
          </a:ln>
        </xdr:spPr>
      </xdr:pic>
      <xdr:sp macro="" textlink="">
        <xdr:nvSpPr>
          <xdr:cNvPr id="11" name="TextBox 10">
            <a:extLst>
              <a:ext uri="{FF2B5EF4-FFF2-40B4-BE49-F238E27FC236}">
                <a16:creationId xmlns:a16="http://schemas.microsoft.com/office/drawing/2014/main" id="{5E7E3BA9-0BF3-87D9-57EF-F008C0217C8E}"/>
              </a:ext>
            </a:extLst>
          </xdr:cNvPr>
          <xdr:cNvSpPr txBox="1"/>
        </xdr:nvSpPr>
        <xdr:spPr>
          <a:xfrm>
            <a:off x="16253460" y="426720"/>
            <a:ext cx="319831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PH" sz="1100" b="1">
                <a:solidFill>
                  <a:srgbClr val="FF0000"/>
                </a:solidFill>
              </a:rPr>
              <a:t>ABC+</a:t>
            </a:r>
            <a:r>
              <a:rPr lang="en-PH" sz="1100" b="1" baseline="0">
                <a:solidFill>
                  <a:srgbClr val="FF0000"/>
                </a:solidFill>
              </a:rPr>
              <a:t> : </a:t>
            </a:r>
            <a:r>
              <a:rPr lang="en-PH" sz="1100" b="1" baseline="0">
                <a:solidFill>
                  <a:srgbClr val="0070C0"/>
                </a:solidFill>
              </a:rPr>
              <a:t>Advancing Basic Education in the Philippines</a:t>
            </a:r>
            <a:endParaRPr lang="en-PH" sz="1100" b="1">
              <a:solidFill>
                <a:srgbClr val="0070C0"/>
              </a:solidFill>
            </a:endParaRPr>
          </a:p>
        </xdr:txBody>
      </xdr:sp>
    </xdr:grpSp>
    <xdr:clientData/>
  </xdr:twoCellAnchor>
  <xdr:twoCellAnchor editAs="oneCell">
    <xdr:from>
      <xdr:col>3</xdr:col>
      <xdr:colOff>190500</xdr:colOff>
      <xdr:row>0</xdr:row>
      <xdr:rowOff>28575</xdr:rowOff>
    </xdr:from>
    <xdr:to>
      <xdr:col>4</xdr:col>
      <xdr:colOff>209549</xdr:colOff>
      <xdr:row>2</xdr:row>
      <xdr:rowOff>262898</xdr:rowOff>
    </xdr:to>
    <xdr:pic>
      <xdr:nvPicPr>
        <xdr:cNvPr id="12" name="Picture 11">
          <a:extLst>
            <a:ext uri="{FF2B5EF4-FFF2-40B4-BE49-F238E27FC236}">
              <a16:creationId xmlns:a16="http://schemas.microsoft.com/office/drawing/2014/main" id="{11642437-4B02-4B08-814D-0743B77407D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457575" y="28575"/>
          <a:ext cx="851534" cy="748673"/>
        </a:xfrm>
        <a:prstGeom prst="rect">
          <a:avLst/>
        </a:prstGeom>
      </xdr:spPr>
    </xdr:pic>
    <xdr:clientData/>
  </xdr:twoCellAnchor>
  <xdr:twoCellAnchor editAs="oneCell">
    <xdr:from>
      <xdr:col>16</xdr:col>
      <xdr:colOff>9525</xdr:colOff>
      <xdr:row>4</xdr:row>
      <xdr:rowOff>171450</xdr:rowOff>
    </xdr:from>
    <xdr:to>
      <xdr:col>22</xdr:col>
      <xdr:colOff>95079</xdr:colOff>
      <xdr:row>9</xdr:row>
      <xdr:rowOff>19532</xdr:rowOff>
    </xdr:to>
    <xdr:pic>
      <xdr:nvPicPr>
        <xdr:cNvPr id="13" name="Picture 12">
          <a:extLst>
            <a:ext uri="{FF2B5EF4-FFF2-40B4-BE49-F238E27FC236}">
              <a16:creationId xmlns:a16="http://schemas.microsoft.com/office/drawing/2014/main" id="{00FD4DE8-E191-3190-3CCD-29BCAC8E7A89}"/>
            </a:ext>
          </a:extLst>
        </xdr:cNvPr>
        <xdr:cNvPicPr>
          <a:picLocks noChangeAspect="1"/>
        </xdr:cNvPicPr>
      </xdr:nvPicPr>
      <xdr:blipFill>
        <a:blip xmlns:r="http://schemas.openxmlformats.org/officeDocument/2006/relationships" r:embed="rId3"/>
        <a:stretch>
          <a:fillRect/>
        </a:stretch>
      </xdr:blipFill>
      <xdr:spPr>
        <a:xfrm>
          <a:off x="12372975" y="1266825"/>
          <a:ext cx="6819729" cy="11625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24765</xdr:colOff>
      <xdr:row>108</xdr:row>
      <xdr:rowOff>123825</xdr:rowOff>
    </xdr:from>
    <xdr:to>
      <xdr:col>10</xdr:col>
      <xdr:colOff>672465</xdr:colOff>
      <xdr:row>111</xdr:row>
      <xdr:rowOff>76200</xdr:rowOff>
    </xdr:to>
    <xdr:sp macro="" textlink="">
      <xdr:nvSpPr>
        <xdr:cNvPr id="4" name="TextBox 3">
          <a:extLst>
            <a:ext uri="{FF2B5EF4-FFF2-40B4-BE49-F238E27FC236}">
              <a16:creationId xmlns:a16="http://schemas.microsoft.com/office/drawing/2014/main" id="{C46FA512-3E50-4A24-8DE4-553A44940CEB}"/>
            </a:ext>
          </a:extLst>
        </xdr:cNvPr>
        <xdr:cNvSpPr txBox="1"/>
      </xdr:nvSpPr>
      <xdr:spPr>
        <a:xfrm>
          <a:off x="24765" y="20250150"/>
          <a:ext cx="8401050"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900"/>
            <a:t>This Scoresheet is made possible with the assistance of USAID through </a:t>
          </a:r>
          <a:r>
            <a:rPr lang="en-PH" sz="900">
              <a:solidFill>
                <a:srgbClr val="FF0000"/>
              </a:solidFill>
            </a:rPr>
            <a:t>ABC+:</a:t>
          </a:r>
          <a:r>
            <a:rPr lang="en-PH" sz="900">
              <a:solidFill>
                <a:srgbClr val="0070C0"/>
              </a:solidFill>
            </a:rPr>
            <a:t> Advancing Basic Education in the Philippines</a:t>
          </a:r>
          <a:r>
            <a:rPr lang="en-PH" sz="900"/>
            <a:t>. ABC+ Project is an early grades education project of the Department of Education in partnership with USAID and implemented by RTI International together with The Asia Foundation, SIL LEAD, and Florida State University.</a:t>
          </a:r>
        </a:p>
      </xdr:txBody>
    </xdr:sp>
    <xdr:clientData/>
  </xdr:twoCellAnchor>
  <xdr:twoCellAnchor editAs="oneCell">
    <xdr:from>
      <xdr:col>16</xdr:col>
      <xdr:colOff>262890</xdr:colOff>
      <xdr:row>108</xdr:row>
      <xdr:rowOff>28574</xdr:rowOff>
    </xdr:from>
    <xdr:to>
      <xdr:col>16</xdr:col>
      <xdr:colOff>2512127</xdr:colOff>
      <xdr:row>111</xdr:row>
      <xdr:rowOff>60959</xdr:rowOff>
    </xdr:to>
    <xdr:pic>
      <xdr:nvPicPr>
        <xdr:cNvPr id="5" name="Picture 4">
          <a:extLst>
            <a:ext uri="{FF2B5EF4-FFF2-40B4-BE49-F238E27FC236}">
              <a16:creationId xmlns:a16="http://schemas.microsoft.com/office/drawing/2014/main" id="{5A3A2459-CB6C-A3FC-DD71-47E7148B6496}"/>
            </a:ext>
          </a:extLst>
        </xdr:cNvPr>
        <xdr:cNvPicPr>
          <a:picLocks noChangeAspect="1"/>
        </xdr:cNvPicPr>
      </xdr:nvPicPr>
      <xdr:blipFill>
        <a:blip xmlns:r="http://schemas.openxmlformats.org/officeDocument/2006/relationships" r:embed="rId1"/>
        <a:stretch>
          <a:fillRect/>
        </a:stretch>
      </xdr:blipFill>
      <xdr:spPr>
        <a:xfrm>
          <a:off x="11559540" y="20154899"/>
          <a:ext cx="2249237" cy="581025"/>
        </a:xfrm>
        <a:prstGeom prst="rect">
          <a:avLst/>
        </a:prstGeom>
      </xdr:spPr>
    </xdr:pic>
    <xdr:clientData/>
  </xdr:twoCellAnchor>
  <xdr:twoCellAnchor editAs="oneCell">
    <xdr:from>
      <xdr:col>0</xdr:col>
      <xdr:colOff>62865</xdr:colOff>
      <xdr:row>1</xdr:row>
      <xdr:rowOff>19050</xdr:rowOff>
    </xdr:from>
    <xdr:to>
      <xdr:col>6</xdr:col>
      <xdr:colOff>363855</xdr:colOff>
      <xdr:row>3</xdr:row>
      <xdr:rowOff>282004</xdr:rowOff>
    </xdr:to>
    <xdr:pic>
      <xdr:nvPicPr>
        <xdr:cNvPr id="3" name="Picture 2">
          <a:extLst>
            <a:ext uri="{FF2B5EF4-FFF2-40B4-BE49-F238E27FC236}">
              <a16:creationId xmlns:a16="http://schemas.microsoft.com/office/drawing/2014/main" id="{99801E7F-93F4-4DB1-0D9F-0F3BA6EBC3CD}"/>
            </a:ext>
          </a:extLst>
        </xdr:cNvPr>
        <xdr:cNvPicPr>
          <a:picLocks noChangeAspect="1"/>
        </xdr:cNvPicPr>
      </xdr:nvPicPr>
      <xdr:blipFill>
        <a:blip xmlns:r="http://schemas.openxmlformats.org/officeDocument/2006/relationships" r:embed="rId2"/>
        <a:stretch>
          <a:fillRect/>
        </a:stretch>
      </xdr:blipFill>
      <xdr:spPr>
        <a:xfrm>
          <a:off x="62865" y="200025"/>
          <a:ext cx="6576060" cy="672529"/>
        </a:xfrm>
        <a:prstGeom prst="rect">
          <a:avLst/>
        </a:prstGeom>
      </xdr:spPr>
    </xdr:pic>
    <xdr:clientData/>
  </xdr:twoCellAnchor>
  <xdr:twoCellAnchor>
    <xdr:from>
      <xdr:col>15</xdr:col>
      <xdr:colOff>1343025</xdr:colOff>
      <xdr:row>0</xdr:row>
      <xdr:rowOff>133350</xdr:rowOff>
    </xdr:from>
    <xdr:to>
      <xdr:col>17</xdr:col>
      <xdr:colOff>6484</xdr:colOff>
      <xdr:row>3</xdr:row>
      <xdr:rowOff>191853</xdr:rowOff>
    </xdr:to>
    <xdr:grpSp>
      <xdr:nvGrpSpPr>
        <xdr:cNvPr id="9" name="Group 8">
          <a:extLst>
            <a:ext uri="{FF2B5EF4-FFF2-40B4-BE49-F238E27FC236}">
              <a16:creationId xmlns:a16="http://schemas.microsoft.com/office/drawing/2014/main" id="{03C32265-D460-4675-9946-9252AE6F2256}"/>
            </a:ext>
          </a:extLst>
        </xdr:cNvPr>
        <xdr:cNvGrpSpPr/>
      </xdr:nvGrpSpPr>
      <xdr:grpSpPr>
        <a:xfrm>
          <a:off x="15714345" y="133350"/>
          <a:ext cx="3189739" cy="652863"/>
          <a:chOff x="16253460" y="45720"/>
          <a:chExt cx="3198311" cy="645560"/>
        </a:xfrm>
      </xdr:grpSpPr>
      <xdr:pic>
        <xdr:nvPicPr>
          <xdr:cNvPr id="10" name="Picture 9">
            <a:extLst>
              <a:ext uri="{FF2B5EF4-FFF2-40B4-BE49-F238E27FC236}">
                <a16:creationId xmlns:a16="http://schemas.microsoft.com/office/drawing/2014/main" id="{B0A25A2F-2FFE-609A-3391-B4DACCEF6CA5}"/>
              </a:ext>
            </a:extLst>
          </xdr:cNvPr>
          <xdr:cNvPicPr>
            <a:picLocks noChangeAspect="1"/>
          </xdr:cNvPicPr>
        </xdr:nvPicPr>
        <xdr:blipFill>
          <a:blip xmlns:r="http://schemas.openxmlformats.org/officeDocument/2006/relationships" r:embed="rId3"/>
          <a:stretch>
            <a:fillRect/>
          </a:stretch>
        </xdr:blipFill>
        <xdr:spPr>
          <a:xfrm>
            <a:off x="16524208" y="45720"/>
            <a:ext cx="2551828" cy="480696"/>
          </a:xfrm>
          <a:prstGeom prst="rect">
            <a:avLst/>
          </a:prstGeom>
          <a:noFill/>
          <a:ln>
            <a:noFill/>
          </a:ln>
        </xdr:spPr>
      </xdr:pic>
      <xdr:sp macro="" textlink="">
        <xdr:nvSpPr>
          <xdr:cNvPr id="11" name="TextBox 10">
            <a:extLst>
              <a:ext uri="{FF2B5EF4-FFF2-40B4-BE49-F238E27FC236}">
                <a16:creationId xmlns:a16="http://schemas.microsoft.com/office/drawing/2014/main" id="{00B63EA1-989B-8B6E-BA6A-F8F30C9ED5C0}"/>
              </a:ext>
            </a:extLst>
          </xdr:cNvPr>
          <xdr:cNvSpPr txBox="1"/>
        </xdr:nvSpPr>
        <xdr:spPr>
          <a:xfrm>
            <a:off x="16253460" y="426720"/>
            <a:ext cx="319831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PH" sz="1100" b="1">
                <a:solidFill>
                  <a:srgbClr val="FF0000"/>
                </a:solidFill>
              </a:rPr>
              <a:t>ABC+</a:t>
            </a:r>
            <a:r>
              <a:rPr lang="en-PH" sz="1100" b="1" baseline="0">
                <a:solidFill>
                  <a:srgbClr val="FF0000"/>
                </a:solidFill>
              </a:rPr>
              <a:t> : </a:t>
            </a:r>
            <a:r>
              <a:rPr lang="en-PH" sz="1100" b="1" baseline="0">
                <a:solidFill>
                  <a:srgbClr val="0070C0"/>
                </a:solidFill>
              </a:rPr>
              <a:t>Advancing Basic Education in the Philippines</a:t>
            </a:r>
            <a:endParaRPr lang="en-PH" sz="1100" b="1">
              <a:solidFill>
                <a:srgbClr val="0070C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545703</xdr:colOff>
      <xdr:row>46</xdr:row>
      <xdr:rowOff>133667</xdr:rowOff>
    </xdr:from>
    <xdr:to>
      <xdr:col>17</xdr:col>
      <xdr:colOff>162560</xdr:colOff>
      <xdr:row>66</xdr:row>
      <xdr:rowOff>124777</xdr:rowOff>
    </xdr:to>
    <xdr:graphicFrame macro="">
      <xdr:nvGraphicFramePr>
        <xdr:cNvPr id="3" name="Chart 2">
          <a:extLst>
            <a:ext uri="{FF2B5EF4-FFF2-40B4-BE49-F238E27FC236}">
              <a16:creationId xmlns:a16="http://schemas.microsoft.com/office/drawing/2014/main" id="{852FDCD9-8A17-4650-A9FB-5D3EE8DE1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234872</xdr:colOff>
      <xdr:row>89</xdr:row>
      <xdr:rowOff>65244</xdr:rowOff>
    </xdr:from>
    <xdr:to>
      <xdr:col>10</xdr:col>
      <xdr:colOff>406797</xdr:colOff>
      <xdr:row>93</xdr:row>
      <xdr:rowOff>44607</xdr:rowOff>
    </xdr:to>
    <xdr:sp macro="" textlink="">
      <xdr:nvSpPr>
        <xdr:cNvPr id="11" name="TextBox 10">
          <a:extLst>
            <a:ext uri="{FF2B5EF4-FFF2-40B4-BE49-F238E27FC236}">
              <a16:creationId xmlns:a16="http://schemas.microsoft.com/office/drawing/2014/main" id="{917380CD-9643-4E21-9ADB-33B7D02CA7F7}"/>
            </a:ext>
          </a:extLst>
        </xdr:cNvPr>
        <xdr:cNvSpPr txBox="1"/>
      </xdr:nvSpPr>
      <xdr:spPr>
        <a:xfrm>
          <a:off x="234872" y="17736103"/>
          <a:ext cx="8595597" cy="6937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900"/>
            <a:t>This Scoresheet is made possible with the assistance of USAID through </a:t>
          </a:r>
          <a:r>
            <a:rPr lang="en-PH" sz="900">
              <a:solidFill>
                <a:srgbClr val="FF0000"/>
              </a:solidFill>
            </a:rPr>
            <a:t>ABC+:</a:t>
          </a:r>
          <a:r>
            <a:rPr lang="en-PH" sz="900">
              <a:solidFill>
                <a:srgbClr val="0070C0"/>
              </a:solidFill>
            </a:rPr>
            <a:t> Advancing Basic Education in the Philippines</a:t>
          </a:r>
          <a:r>
            <a:rPr lang="en-PH" sz="900"/>
            <a:t>. ABC+ Project is an early grades education project of the Department of Education in partnership with USAID and implemented by RTI International together with The Asia Foundation, SIL LEAD, and Florida State University.</a:t>
          </a:r>
        </a:p>
      </xdr:txBody>
    </xdr:sp>
    <xdr:clientData/>
  </xdr:twoCellAnchor>
  <xdr:twoCellAnchor editAs="oneCell">
    <xdr:from>
      <xdr:col>14</xdr:col>
      <xdr:colOff>586502</xdr:colOff>
      <xdr:row>88</xdr:row>
      <xdr:rowOff>48337</xdr:rowOff>
    </xdr:from>
    <xdr:to>
      <xdr:col>18</xdr:col>
      <xdr:colOff>361790</xdr:colOff>
      <xdr:row>91</xdr:row>
      <xdr:rowOff>154939</xdr:rowOff>
    </xdr:to>
    <xdr:pic>
      <xdr:nvPicPr>
        <xdr:cNvPr id="12" name="Picture 11">
          <a:extLst>
            <a:ext uri="{FF2B5EF4-FFF2-40B4-BE49-F238E27FC236}">
              <a16:creationId xmlns:a16="http://schemas.microsoft.com/office/drawing/2014/main" id="{99E43EB3-DDD6-439B-AE56-C797770B906A}"/>
            </a:ext>
          </a:extLst>
        </xdr:cNvPr>
        <xdr:cNvPicPr>
          <a:picLocks noChangeAspect="1"/>
        </xdr:cNvPicPr>
      </xdr:nvPicPr>
      <xdr:blipFill>
        <a:blip xmlns:r="http://schemas.openxmlformats.org/officeDocument/2006/relationships" r:embed="rId2"/>
        <a:stretch>
          <a:fillRect/>
        </a:stretch>
      </xdr:blipFill>
      <xdr:spPr>
        <a:xfrm>
          <a:off x="11867674" y="17540603"/>
          <a:ext cx="2543491" cy="642383"/>
        </a:xfrm>
        <a:prstGeom prst="rect">
          <a:avLst/>
        </a:prstGeom>
      </xdr:spPr>
    </xdr:pic>
    <xdr:clientData/>
  </xdr:twoCellAnchor>
  <xdr:twoCellAnchor>
    <xdr:from>
      <xdr:col>15</xdr:col>
      <xdr:colOff>41277</xdr:colOff>
      <xdr:row>13</xdr:row>
      <xdr:rowOff>293211</xdr:rowOff>
    </xdr:from>
    <xdr:to>
      <xdr:col>18</xdr:col>
      <xdr:colOff>543403</xdr:colOff>
      <xdr:row>27</xdr:row>
      <xdr:rowOff>33576</xdr:rowOff>
    </xdr:to>
    <xdr:graphicFrame macro="">
      <xdr:nvGraphicFramePr>
        <xdr:cNvPr id="5" name="Chart 4">
          <a:extLst>
            <a:ext uri="{FF2B5EF4-FFF2-40B4-BE49-F238E27FC236}">
              <a16:creationId xmlns:a16="http://schemas.microsoft.com/office/drawing/2014/main" id="{D05AE35C-FF74-5F78-6400-F0806B6D12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514031</xdr:colOff>
      <xdr:row>15</xdr:row>
      <xdr:rowOff>24131</xdr:rowOff>
    </xdr:from>
    <xdr:to>
      <xdr:col>18</xdr:col>
      <xdr:colOff>77468</xdr:colOff>
      <xdr:row>16</xdr:row>
      <xdr:rowOff>122794</xdr:rowOff>
    </xdr:to>
    <xdr:sp macro="" textlink="">
      <xdr:nvSpPr>
        <xdr:cNvPr id="6" name="TextBox 5">
          <a:extLst>
            <a:ext uri="{FF2B5EF4-FFF2-40B4-BE49-F238E27FC236}">
              <a16:creationId xmlns:a16="http://schemas.microsoft.com/office/drawing/2014/main" id="{25FD3153-3629-254A-DB10-C3B1AF4F2923}"/>
            </a:ext>
          </a:extLst>
        </xdr:cNvPr>
        <xdr:cNvSpPr txBox="1"/>
      </xdr:nvSpPr>
      <xdr:spPr>
        <a:xfrm>
          <a:off x="12459969" y="4181397"/>
          <a:ext cx="1666874" cy="27725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t>% of Learners Assessed</a:t>
          </a:r>
        </a:p>
      </xdr:txBody>
    </xdr:sp>
    <xdr:clientData/>
  </xdr:twoCellAnchor>
  <xdr:twoCellAnchor>
    <xdr:from>
      <xdr:col>0</xdr:col>
      <xdr:colOff>555308</xdr:colOff>
      <xdr:row>25</xdr:row>
      <xdr:rowOff>150812</xdr:rowOff>
    </xdr:from>
    <xdr:to>
      <xdr:col>17</xdr:col>
      <xdr:colOff>188515</xdr:colOff>
      <xdr:row>45</xdr:row>
      <xdr:rowOff>115888</xdr:rowOff>
    </xdr:to>
    <xdr:graphicFrame macro="">
      <xdr:nvGraphicFramePr>
        <xdr:cNvPr id="13" name="Chart 12">
          <a:extLst>
            <a:ext uri="{FF2B5EF4-FFF2-40B4-BE49-F238E27FC236}">
              <a16:creationId xmlns:a16="http://schemas.microsoft.com/office/drawing/2014/main" id="{DDCDB85A-C8D1-4F7E-837B-15DCC6528B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174784</xdr:colOff>
      <xdr:row>67</xdr:row>
      <xdr:rowOff>148828</xdr:rowOff>
    </xdr:from>
    <xdr:to>
      <xdr:col>10</xdr:col>
      <xdr:colOff>218282</xdr:colOff>
      <xdr:row>87</xdr:row>
      <xdr:rowOff>134223</xdr:rowOff>
    </xdr:to>
    <xdr:graphicFrame macro="">
      <xdr:nvGraphicFramePr>
        <xdr:cNvPr id="2" name="Chart 1">
          <a:extLst>
            <a:ext uri="{FF2B5EF4-FFF2-40B4-BE49-F238E27FC236}">
              <a16:creationId xmlns:a16="http://schemas.microsoft.com/office/drawing/2014/main" id="{1536D793-8616-49CE-9977-7A75BA96F0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342899</xdr:colOff>
      <xdr:row>67</xdr:row>
      <xdr:rowOff>166370</xdr:rowOff>
    </xdr:from>
    <xdr:to>
      <xdr:col>18</xdr:col>
      <xdr:colOff>496093</xdr:colOff>
      <xdr:row>87</xdr:row>
      <xdr:rowOff>151765</xdr:rowOff>
    </xdr:to>
    <xdr:graphicFrame macro="">
      <xdr:nvGraphicFramePr>
        <xdr:cNvPr id="7" name="Chart 6">
          <a:extLst>
            <a:ext uri="{FF2B5EF4-FFF2-40B4-BE49-F238E27FC236}">
              <a16:creationId xmlns:a16="http://schemas.microsoft.com/office/drawing/2014/main" id="{6C95E5CC-098C-42C6-AF8B-8D70EB3D5E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11</xdr:col>
      <xdr:colOff>466964</xdr:colOff>
      <xdr:row>0</xdr:row>
      <xdr:rowOff>119062</xdr:rowOff>
    </xdr:from>
    <xdr:to>
      <xdr:col>19</xdr:col>
      <xdr:colOff>151131</xdr:colOff>
      <xdr:row>4</xdr:row>
      <xdr:rowOff>59277</xdr:rowOff>
    </xdr:to>
    <xdr:pic>
      <xdr:nvPicPr>
        <xdr:cNvPr id="8" name="Picture 7">
          <a:extLst>
            <a:ext uri="{FF2B5EF4-FFF2-40B4-BE49-F238E27FC236}">
              <a16:creationId xmlns:a16="http://schemas.microsoft.com/office/drawing/2014/main" id="{E65C5DFB-5A31-4F8D-8F1B-D0705E703BC1}"/>
            </a:ext>
          </a:extLst>
        </xdr:cNvPr>
        <xdr:cNvPicPr>
          <a:picLocks noChangeAspect="1"/>
        </xdr:cNvPicPr>
      </xdr:nvPicPr>
      <xdr:blipFill rotWithShape="1">
        <a:blip xmlns:r="http://schemas.openxmlformats.org/officeDocument/2006/relationships" r:embed="rId7"/>
        <a:srcRect r="18058"/>
        <a:stretch/>
      </xdr:blipFill>
      <xdr:spPr>
        <a:xfrm>
          <a:off x="9555402" y="119062"/>
          <a:ext cx="5389245" cy="68205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801191</xdr:colOff>
      <xdr:row>12</xdr:row>
      <xdr:rowOff>91440</xdr:rowOff>
    </xdr:from>
    <xdr:to>
      <xdr:col>6</xdr:col>
      <xdr:colOff>260918</xdr:colOff>
      <xdr:row>43</xdr:row>
      <xdr:rowOff>3296</xdr:rowOff>
    </xdr:to>
    <xdr:pic>
      <xdr:nvPicPr>
        <xdr:cNvPr id="6" name="Picture 5">
          <a:extLst>
            <a:ext uri="{FF2B5EF4-FFF2-40B4-BE49-F238E27FC236}">
              <a16:creationId xmlns:a16="http://schemas.microsoft.com/office/drawing/2014/main" id="{BF8C78B2-ABBA-F84E-FEED-69EBEAF3148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01191" y="3339465"/>
          <a:ext cx="9984852" cy="552208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0C3AE-0684-48D6-8DFD-528DDA524424}">
  <sheetPr codeName="Sheet1"/>
  <dimension ref="A1:AD110"/>
  <sheetViews>
    <sheetView tabSelected="1" zoomScale="77" zoomScaleNormal="78" workbookViewId="0">
      <pane xSplit="3" ySplit="10" topLeftCell="D11" activePane="bottomRight" state="frozen"/>
      <selection pane="topRight" activeCell="D1" sqref="D1"/>
      <selection pane="bottomLeft" activeCell="A9" sqref="A9"/>
      <selection pane="bottomRight" activeCell="K19" sqref="K19"/>
    </sheetView>
  </sheetViews>
  <sheetFormatPr defaultColWidth="0" defaultRowHeight="14.4" x14ac:dyDescent="0.3"/>
  <cols>
    <col min="1" max="1" width="4.6640625" customWidth="1"/>
    <col min="2" max="2" width="15.44140625" style="3" customWidth="1"/>
    <col min="3" max="3" width="30.109375" customWidth="1"/>
    <col min="4" max="4" width="12.109375" style="1" customWidth="1"/>
    <col min="5" max="5" width="11.6640625" style="1" customWidth="1"/>
    <col min="6" max="6" width="9.5546875" style="1" customWidth="1"/>
    <col min="7" max="7" width="8.33203125" style="1" customWidth="1"/>
    <col min="8" max="8" width="9.33203125" style="1" customWidth="1"/>
    <col min="9" max="9" width="10.44140625" style="1" customWidth="1"/>
    <col min="10" max="10" width="20.33203125" style="2" customWidth="1"/>
    <col min="11" max="11" width="9.6640625" style="1" customWidth="1"/>
    <col min="12" max="12" width="8.6640625" style="1" customWidth="1"/>
    <col min="13" max="13" width="9.5546875" style="1" customWidth="1"/>
    <col min="14" max="14" width="6.109375" style="1" customWidth="1"/>
    <col min="15" max="15" width="5.109375" style="1" customWidth="1"/>
    <col min="16" max="16" width="10.33203125" style="1" customWidth="1"/>
    <col min="17" max="17" width="9.5546875" style="1" customWidth="1"/>
    <col min="18" max="18" width="10.88671875" style="1" customWidth="1"/>
    <col min="19" max="19" width="11.6640625" style="1" customWidth="1"/>
    <col min="20" max="20" width="10.6640625" style="1" customWidth="1"/>
    <col min="21" max="21" width="23.33203125" style="1" customWidth="1"/>
    <col min="22" max="22" width="34" customWidth="1"/>
    <col min="23" max="23" width="8.88671875" customWidth="1"/>
    <col min="24" max="30" width="10.6640625" customWidth="1"/>
    <col min="31" max="16384" width="10.6640625" hidden="1"/>
  </cols>
  <sheetData>
    <row r="1" spans="1:26" ht="22.2" customHeight="1" x14ac:dyDescent="0.3">
      <c r="A1" t="s">
        <v>154</v>
      </c>
    </row>
    <row r="2" spans="1:26" ht="18" customHeight="1" thickBot="1" x14ac:dyDescent="0.35"/>
    <row r="3" spans="1:26" ht="27" customHeight="1" thickBot="1" x14ac:dyDescent="0.35">
      <c r="A3" s="310" t="s">
        <v>111</v>
      </c>
      <c r="B3" s="311"/>
      <c r="C3" s="153" t="s">
        <v>190</v>
      </c>
    </row>
    <row r="4" spans="1:26" ht="18.600000000000001" customHeight="1" thickBot="1" x14ac:dyDescent="0.35">
      <c r="A4" s="285" t="s">
        <v>4</v>
      </c>
      <c r="B4" s="286"/>
      <c r="C4" s="154">
        <v>107136</v>
      </c>
      <c r="D4" s="149" t="s">
        <v>86</v>
      </c>
      <c r="E4" s="60"/>
      <c r="F4" s="124">
        <f>D6+E6</f>
        <v>24</v>
      </c>
      <c r="G4" s="316" t="s">
        <v>84</v>
      </c>
      <c r="H4" s="316"/>
      <c r="I4" s="125">
        <f>COUNTIF(F11:F110,"&lt;&gt;")</f>
        <v>24</v>
      </c>
      <c r="J4" s="61"/>
      <c r="K4" s="112"/>
      <c r="L4" s="112"/>
      <c r="M4" s="112"/>
      <c r="N4" s="112"/>
      <c r="O4" s="112"/>
      <c r="P4" s="112"/>
      <c r="Q4" s="112"/>
      <c r="R4" s="112"/>
      <c r="S4" s="112"/>
      <c r="T4" s="112"/>
      <c r="U4" s="112"/>
      <c r="V4" s="113"/>
    </row>
    <row r="5" spans="1:26" ht="18" customHeight="1" x14ac:dyDescent="0.3">
      <c r="A5" s="291" t="s">
        <v>71</v>
      </c>
      <c r="B5" s="292"/>
      <c r="C5" s="155" t="s">
        <v>191</v>
      </c>
      <c r="D5" s="150" t="s">
        <v>81</v>
      </c>
      <c r="E5" s="21" t="s">
        <v>82</v>
      </c>
      <c r="F5" s="301" t="s">
        <v>113</v>
      </c>
      <c r="G5" s="302"/>
      <c r="H5" s="302"/>
      <c r="I5" s="302"/>
      <c r="J5" s="299" t="s">
        <v>177</v>
      </c>
      <c r="K5" s="305" t="s">
        <v>133</v>
      </c>
      <c r="L5" s="306"/>
      <c r="M5" s="306"/>
      <c r="N5" s="306"/>
      <c r="O5" s="306"/>
      <c r="P5" s="306"/>
      <c r="Q5" s="114"/>
      <c r="R5" s="114"/>
      <c r="S5" s="114"/>
      <c r="T5" s="114"/>
      <c r="U5" s="114"/>
      <c r="V5" s="115"/>
    </row>
    <row r="6" spans="1:26" ht="19.95" customHeight="1" x14ac:dyDescent="0.3">
      <c r="A6" s="287" t="s">
        <v>1</v>
      </c>
      <c r="B6" s="288"/>
      <c r="C6" s="155"/>
      <c r="D6" s="151">
        <v>13</v>
      </c>
      <c r="E6" s="30">
        <v>11</v>
      </c>
      <c r="F6" s="303"/>
      <c r="G6" s="304"/>
      <c r="H6" s="304"/>
      <c r="I6" s="304"/>
      <c r="J6" s="300"/>
      <c r="K6" s="307"/>
      <c r="L6" s="308"/>
      <c r="M6" s="308"/>
      <c r="N6" s="308"/>
      <c r="O6" s="308"/>
      <c r="P6" s="308"/>
      <c r="Q6" s="312"/>
      <c r="R6" s="313"/>
      <c r="S6" s="313"/>
      <c r="T6" s="314"/>
      <c r="U6" s="283"/>
      <c r="V6" s="284"/>
    </row>
    <row r="7" spans="1:26" ht="36" customHeight="1" x14ac:dyDescent="0.3">
      <c r="A7" s="287" t="s">
        <v>2</v>
      </c>
      <c r="B7" s="288"/>
      <c r="C7" s="156" t="s">
        <v>102</v>
      </c>
      <c r="D7" s="293" t="s">
        <v>116</v>
      </c>
      <c r="E7" s="294"/>
      <c r="F7" s="317" t="s">
        <v>12</v>
      </c>
      <c r="G7" s="318" t="s">
        <v>87</v>
      </c>
      <c r="H7" s="318" t="s">
        <v>175</v>
      </c>
      <c r="I7" s="297" t="s">
        <v>176</v>
      </c>
      <c r="J7" s="300"/>
      <c r="K7" s="126" t="s">
        <v>132</v>
      </c>
      <c r="L7" s="127" t="s">
        <v>114</v>
      </c>
      <c r="M7" s="117">
        <f>_xlfn.IFNA(IF(X9=1,Y9,IF(D9&gt;0,D9,95)),"")</f>
        <v>96</v>
      </c>
      <c r="N7" s="326" t="s">
        <v>115</v>
      </c>
      <c r="O7" s="326"/>
      <c r="P7" s="117">
        <f>_xlfn.IFNA(IF(X9=1,Z9,IF(E9&gt;0,E9,95)),"")</f>
        <v>95</v>
      </c>
      <c r="Q7" s="315"/>
      <c r="R7" s="283"/>
      <c r="S7" s="283"/>
      <c r="T7" s="284"/>
      <c r="U7" s="283"/>
      <c r="V7" s="284"/>
    </row>
    <row r="8" spans="1:26" ht="17.399999999999999" customHeight="1" x14ac:dyDescent="0.3">
      <c r="A8" s="287" t="s">
        <v>20</v>
      </c>
      <c r="B8" s="288"/>
      <c r="C8" s="155" t="s">
        <v>192</v>
      </c>
      <c r="D8" s="152" t="s">
        <v>114</v>
      </c>
      <c r="E8" s="62" t="s">
        <v>115</v>
      </c>
      <c r="F8" s="317"/>
      <c r="G8" s="318"/>
      <c r="H8" s="318"/>
      <c r="I8" s="319"/>
      <c r="J8" s="300"/>
      <c r="K8" s="295" t="s">
        <v>91</v>
      </c>
      <c r="L8" s="297" t="s">
        <v>131</v>
      </c>
      <c r="M8" s="297" t="s">
        <v>107</v>
      </c>
      <c r="N8" s="320" t="s">
        <v>105</v>
      </c>
      <c r="O8" s="321"/>
      <c r="P8" s="324" t="s">
        <v>95</v>
      </c>
      <c r="Q8" s="315"/>
      <c r="R8" s="283"/>
      <c r="S8" s="283"/>
      <c r="T8" s="284"/>
      <c r="U8" s="283"/>
      <c r="V8" s="284"/>
    </row>
    <row r="9" spans="1:26" ht="20.399999999999999" customHeight="1" thickBot="1" x14ac:dyDescent="0.35">
      <c r="A9" s="289" t="s">
        <v>5</v>
      </c>
      <c r="B9" s="290"/>
      <c r="C9" s="282" t="s">
        <v>18</v>
      </c>
      <c r="D9" s="190"/>
      <c r="E9" s="191"/>
      <c r="F9" s="295"/>
      <c r="G9" s="297"/>
      <c r="H9" s="297"/>
      <c r="I9" s="319"/>
      <c r="J9" s="300"/>
      <c r="K9" s="296"/>
      <c r="L9" s="298"/>
      <c r="M9" s="298"/>
      <c r="N9" s="322"/>
      <c r="O9" s="323"/>
      <c r="P9" s="325"/>
      <c r="Q9" s="315"/>
      <c r="R9" s="283"/>
      <c r="S9" s="283"/>
      <c r="T9" s="284"/>
      <c r="U9" s="283"/>
      <c r="V9" s="284"/>
      <c r="X9" s="111">
        <f>IF(_xlfn.IFNA(VLOOKUP($C$9,List!$G$2:$M$20,1,0),"")=C9,1,0)</f>
        <v>1</v>
      </c>
      <c r="Y9" s="111">
        <f>VLOOKUP($C$9,List!$G$2:$M$20,4,0)</f>
        <v>96</v>
      </c>
      <c r="Z9" s="111">
        <f>VLOOKUP($C$9,List!$G$2:$M$20,7,0)</f>
        <v>95</v>
      </c>
    </row>
    <row r="10" spans="1:26" ht="35.4" customHeight="1" thickBot="1" x14ac:dyDescent="0.35">
      <c r="A10" s="22" t="s">
        <v>9</v>
      </c>
      <c r="B10" s="23" t="s">
        <v>34</v>
      </c>
      <c r="C10" s="18" t="s">
        <v>10</v>
      </c>
      <c r="D10" s="24" t="s">
        <v>31</v>
      </c>
      <c r="E10" s="25" t="s">
        <v>11</v>
      </c>
      <c r="F10" s="206" t="s">
        <v>6</v>
      </c>
      <c r="G10" s="207" t="s">
        <v>173</v>
      </c>
      <c r="H10" s="207" t="s">
        <v>174</v>
      </c>
      <c r="I10" s="26" t="s">
        <v>7</v>
      </c>
      <c r="J10" s="19" t="s">
        <v>92</v>
      </c>
      <c r="K10" s="27" t="s">
        <v>88</v>
      </c>
      <c r="L10" s="116" t="s">
        <v>134</v>
      </c>
      <c r="M10" s="42" t="s">
        <v>89</v>
      </c>
      <c r="N10" s="309" t="s">
        <v>93</v>
      </c>
      <c r="O10" s="309"/>
      <c r="P10" s="42" t="s">
        <v>94</v>
      </c>
      <c r="Q10" s="28" t="s">
        <v>135</v>
      </c>
      <c r="R10" s="42" t="s">
        <v>90</v>
      </c>
      <c r="S10" s="28" t="s">
        <v>147</v>
      </c>
      <c r="T10" s="29" t="s">
        <v>136</v>
      </c>
      <c r="U10" s="59" t="s">
        <v>103</v>
      </c>
      <c r="V10" s="17" t="s">
        <v>8</v>
      </c>
    </row>
    <row r="11" spans="1:26" x14ac:dyDescent="0.3">
      <c r="A11" s="12">
        <v>1</v>
      </c>
      <c r="B11" s="72">
        <v>123456789012</v>
      </c>
      <c r="C11" s="63" t="s">
        <v>193</v>
      </c>
      <c r="D11" s="64" t="s">
        <v>81</v>
      </c>
      <c r="E11" s="65">
        <v>45833</v>
      </c>
      <c r="F11" s="66">
        <v>9</v>
      </c>
      <c r="G11" s="67"/>
      <c r="H11" s="67">
        <v>10</v>
      </c>
      <c r="I11" s="68">
        <f>IF(AND(F11="",G11=""),"",IF(F11&lt;7,F11+G11,F11+10+H11))</f>
        <v>29</v>
      </c>
      <c r="J11" s="69" t="str">
        <f>IF(I11="","",IF(F11&lt;7,IF(I11&lt;=10,"Full Refresher","Moderate Refresher"),IF(I11&lt;27,"Light Refresher","Grade Ready")))</f>
        <v>Grade Ready</v>
      </c>
      <c r="K11" s="70">
        <v>2</v>
      </c>
      <c r="L11" s="71">
        <v>3</v>
      </c>
      <c r="M11" s="118">
        <f>IF($C$9&lt;&gt;"",IF(OR(K11=1, K11=2),IF(K11=1,M$7-L11,$P$7-L11),""),"")</f>
        <v>92</v>
      </c>
      <c r="N11" s="72">
        <v>2</v>
      </c>
      <c r="O11" s="72">
        <v>0</v>
      </c>
      <c r="P11" s="120">
        <f>IF(AND(K11&gt;0,M11&gt;0,OR(N11&gt;0,O11&gt;0)),(M11/((N11*60)+O11))*60,"")</f>
        <v>46</v>
      </c>
      <c r="Q11" s="121">
        <f>IFERROR(IF(OR(K11=1, K11=2),IF(K11=1,M11/$M$7,M11/$P$7),""),"")</f>
        <v>0.96842105263157896</v>
      </c>
      <c r="R11" s="72">
        <v>4</v>
      </c>
      <c r="S11" s="72">
        <v>4</v>
      </c>
      <c r="T11" s="73" t="s">
        <v>153</v>
      </c>
      <c r="U11" s="74" t="str">
        <f>IF(J11&lt;&gt;"",IF(J11="Full Refresher","Low Emerging Reader",IF(AND(K11&gt;0,Q11&lt;&gt;""),IF(OR(Q11&lt;=25%,AND(Q11&gt;25%,Q11&lt;=50%, R11=0)),"High Emerging Reader",IF(OR(AND(Q11&gt;25%,Q11&lt;51%, R11&gt;=1),AND(Q11&gt;50%,Q11&lt;76%,R11&lt;=2)),"Developing Reader",IF(OR(AND(Q11&gt;=51%, Q11&lt;76%,R11&gt;=3),AND(Q11&gt;75%,R11&lt;=4)),"Transitioning Reader",IF(AND(Q11&gt;75%,R11&gt;=5),"Reading At Grade Level","")))),"")),"")</f>
        <v>Transitioning Reader</v>
      </c>
      <c r="V11" s="75"/>
      <c r="Y11" s="221">
        <f>IF(C11&lt;&gt;"",R11/6,"")</f>
        <v>0.66666666666666663</v>
      </c>
    </row>
    <row r="12" spans="1:26" x14ac:dyDescent="0.3">
      <c r="A12" s="4">
        <v>2</v>
      </c>
      <c r="B12" s="85">
        <v>123456789013</v>
      </c>
      <c r="C12" s="76" t="s">
        <v>194</v>
      </c>
      <c r="D12" s="77" t="s">
        <v>81</v>
      </c>
      <c r="E12" s="78">
        <v>45833</v>
      </c>
      <c r="F12" s="79">
        <v>10</v>
      </c>
      <c r="G12" s="80"/>
      <c r="H12" s="80">
        <v>10</v>
      </c>
      <c r="I12" s="81">
        <f t="shared" ref="I12:I75" si="0">IF(AND(F12="",G12=""),"",IF(F12&lt;7,F12+G12,F12+10+H12))</f>
        <v>30</v>
      </c>
      <c r="J12" s="82" t="str">
        <f t="shared" ref="J12:J75" si="1">IF(I12="","",IF(F12&lt;7,IF(I12&lt;=10,"Full Refresher","Moderate Refresher"),IF(I12&lt;27,"Light Refresher","Grade Ready")))</f>
        <v>Grade Ready</v>
      </c>
      <c r="K12" s="83">
        <v>2</v>
      </c>
      <c r="L12" s="84">
        <v>0</v>
      </c>
      <c r="M12" s="118">
        <f t="shared" ref="M12:M75" si="2">IF($C$9&lt;&gt;"",IF(OR(K12=1, K12=2),IF(K12=1,M$7-L12,$P$7-L12),""),"")</f>
        <v>95</v>
      </c>
      <c r="N12" s="85">
        <v>2</v>
      </c>
      <c r="O12" s="85">
        <v>0</v>
      </c>
      <c r="P12" s="118">
        <f t="shared" ref="P12:P75" si="3">IF(AND(K12&gt;0,M12&gt;0,OR(N12&gt;0,O12&gt;0)),(M12/((N12*60)+O12))*60,"")</f>
        <v>47.5</v>
      </c>
      <c r="Q12" s="122">
        <f t="shared" ref="Q12:Q75" si="4">IFERROR(IF(OR(K12=1, K12=2),IF(K12=1,M12/$M$7,M12/$P$7),""),"")</f>
        <v>1</v>
      </c>
      <c r="R12" s="85">
        <v>4</v>
      </c>
      <c r="S12" s="85">
        <v>4</v>
      </c>
      <c r="T12" s="86" t="s">
        <v>153</v>
      </c>
      <c r="U12" s="87" t="str">
        <f t="shared" ref="U12:U75" si="5">IF(J12&lt;&gt;"",IF(J12="Full Refresher","Low Emerging Reader",IF(AND(K12&gt;0,Q12&lt;&gt;""),IF(OR(Q12&lt;=25%,AND(Q12&gt;25%,Q12&lt;=50%, R12=0)),"High Emerging Reader",IF(OR(AND(Q12&gt;25%,Q12&lt;51%, R12&gt;=1),AND(Q12&gt;50%,Q12&lt;76%,R12&lt;=2)),"Developing Reader",IF(OR(AND(Q12&gt;=51%, Q12&lt;76%,R12&gt;=3),AND(Q12&gt;75%,R12&lt;=4)),"Transitioning Reader",IF(AND(Q12&gt;75%,R12&gt;=5),"Reading At Grade Level","")))),"")),"")</f>
        <v>Transitioning Reader</v>
      </c>
      <c r="V12" s="88"/>
      <c r="Y12" s="221">
        <f t="shared" ref="Y12:Y75" si="6">IF(C12&lt;&gt;"",R12/6,"")</f>
        <v>0.66666666666666663</v>
      </c>
    </row>
    <row r="13" spans="1:26" x14ac:dyDescent="0.3">
      <c r="A13" s="5">
        <v>3</v>
      </c>
      <c r="B13" s="93">
        <v>123456789014</v>
      </c>
      <c r="C13" s="89" t="s">
        <v>195</v>
      </c>
      <c r="D13" s="90" t="s">
        <v>81</v>
      </c>
      <c r="E13" s="91">
        <v>45835</v>
      </c>
      <c r="F13" s="92">
        <v>0</v>
      </c>
      <c r="G13" s="67">
        <v>0</v>
      </c>
      <c r="H13" s="93"/>
      <c r="I13" s="81">
        <f t="shared" si="0"/>
        <v>0</v>
      </c>
      <c r="J13" s="82" t="str">
        <f t="shared" si="1"/>
        <v>Full Refresher</v>
      </c>
      <c r="K13" s="94"/>
      <c r="L13" s="95"/>
      <c r="M13" s="118" t="str">
        <f t="shared" si="2"/>
        <v/>
      </c>
      <c r="N13" s="93"/>
      <c r="O13" s="93"/>
      <c r="P13" s="118" t="str">
        <f t="shared" si="3"/>
        <v/>
      </c>
      <c r="Q13" s="122" t="str">
        <f t="shared" si="4"/>
        <v/>
      </c>
      <c r="R13" s="93"/>
      <c r="S13" s="93"/>
      <c r="T13" s="96"/>
      <c r="U13" s="87" t="str">
        <f t="shared" si="5"/>
        <v>Low Emerging Reader</v>
      </c>
      <c r="V13" s="97"/>
      <c r="Y13" s="221">
        <f t="shared" si="6"/>
        <v>0</v>
      </c>
    </row>
    <row r="14" spans="1:26" x14ac:dyDescent="0.3">
      <c r="A14" s="4">
        <v>4</v>
      </c>
      <c r="B14" s="85">
        <v>123456789015</v>
      </c>
      <c r="C14" s="76" t="s">
        <v>196</v>
      </c>
      <c r="D14" s="77" t="s">
        <v>81</v>
      </c>
      <c r="E14" s="78">
        <v>45834</v>
      </c>
      <c r="F14" s="79">
        <v>0</v>
      </c>
      <c r="G14" s="80">
        <v>0</v>
      </c>
      <c r="H14" s="85">
        <v>7</v>
      </c>
      <c r="I14" s="81">
        <f t="shared" si="0"/>
        <v>0</v>
      </c>
      <c r="J14" s="82" t="str">
        <f t="shared" si="1"/>
        <v>Full Refresher</v>
      </c>
      <c r="K14" s="83"/>
      <c r="L14" s="84"/>
      <c r="M14" s="118" t="str">
        <f t="shared" si="2"/>
        <v/>
      </c>
      <c r="N14" s="85"/>
      <c r="O14" s="85"/>
      <c r="P14" s="118" t="str">
        <f t="shared" si="3"/>
        <v/>
      </c>
      <c r="Q14" s="122" t="str">
        <f t="shared" si="4"/>
        <v/>
      </c>
      <c r="R14" s="85"/>
      <c r="S14" s="85"/>
      <c r="T14" s="86"/>
      <c r="U14" s="87" t="str">
        <f t="shared" si="5"/>
        <v>Low Emerging Reader</v>
      </c>
      <c r="V14" s="88"/>
      <c r="Y14" s="221">
        <f t="shared" si="6"/>
        <v>0</v>
      </c>
    </row>
    <row r="15" spans="1:26" x14ac:dyDescent="0.3">
      <c r="A15" s="5">
        <v>5</v>
      </c>
      <c r="B15" s="93">
        <v>123456789016</v>
      </c>
      <c r="C15" s="89" t="s">
        <v>197</v>
      </c>
      <c r="D15" s="90" t="s">
        <v>81</v>
      </c>
      <c r="E15" s="91">
        <v>45835</v>
      </c>
      <c r="F15" s="92">
        <v>5</v>
      </c>
      <c r="G15" s="67">
        <v>5</v>
      </c>
      <c r="H15" s="93">
        <v>10</v>
      </c>
      <c r="I15" s="81">
        <f t="shared" si="0"/>
        <v>10</v>
      </c>
      <c r="J15" s="82" t="str">
        <f t="shared" si="1"/>
        <v>Full Refresher</v>
      </c>
      <c r="K15" s="94"/>
      <c r="L15" s="95"/>
      <c r="M15" s="118" t="str">
        <f t="shared" si="2"/>
        <v/>
      </c>
      <c r="N15" s="93"/>
      <c r="O15" s="93"/>
      <c r="P15" s="118" t="str">
        <f t="shared" si="3"/>
        <v/>
      </c>
      <c r="Q15" s="122" t="str">
        <f t="shared" si="4"/>
        <v/>
      </c>
      <c r="R15" s="93"/>
      <c r="S15" s="93"/>
      <c r="T15" s="96"/>
      <c r="U15" s="87" t="str">
        <f t="shared" si="5"/>
        <v>Low Emerging Reader</v>
      </c>
      <c r="V15" s="97"/>
      <c r="Y15" s="221">
        <f t="shared" si="6"/>
        <v>0</v>
      </c>
    </row>
    <row r="16" spans="1:26" x14ac:dyDescent="0.3">
      <c r="A16" s="4">
        <v>6</v>
      </c>
      <c r="B16" s="85">
        <v>123456789017</v>
      </c>
      <c r="C16" s="76" t="s">
        <v>198</v>
      </c>
      <c r="D16" s="77" t="s">
        <v>81</v>
      </c>
      <c r="E16" s="78">
        <v>45833</v>
      </c>
      <c r="F16" s="79">
        <v>10</v>
      </c>
      <c r="G16" s="80"/>
      <c r="H16" s="85">
        <v>10</v>
      </c>
      <c r="I16" s="81">
        <f t="shared" si="0"/>
        <v>30</v>
      </c>
      <c r="J16" s="82" t="str">
        <f t="shared" si="1"/>
        <v>Grade Ready</v>
      </c>
      <c r="K16" s="83">
        <v>2</v>
      </c>
      <c r="L16" s="84">
        <v>0</v>
      </c>
      <c r="M16" s="118">
        <f t="shared" si="2"/>
        <v>95</v>
      </c>
      <c r="N16" s="85">
        <v>2</v>
      </c>
      <c r="O16" s="85">
        <v>0</v>
      </c>
      <c r="P16" s="118">
        <f t="shared" si="3"/>
        <v>47.5</v>
      </c>
      <c r="Q16" s="122">
        <f t="shared" si="4"/>
        <v>1</v>
      </c>
      <c r="R16" s="85">
        <v>1</v>
      </c>
      <c r="S16" s="85">
        <v>3</v>
      </c>
      <c r="T16" s="86" t="s">
        <v>153</v>
      </c>
      <c r="U16" s="87" t="str">
        <f t="shared" si="5"/>
        <v>Transitioning Reader</v>
      </c>
      <c r="V16" s="88"/>
      <c r="Y16" s="221">
        <f t="shared" si="6"/>
        <v>0.16666666666666666</v>
      </c>
    </row>
    <row r="17" spans="1:25" x14ac:dyDescent="0.3">
      <c r="A17" s="5">
        <v>7</v>
      </c>
      <c r="B17" s="93">
        <v>123456789018</v>
      </c>
      <c r="C17" s="89" t="s">
        <v>199</v>
      </c>
      <c r="D17" s="90" t="s">
        <v>81</v>
      </c>
      <c r="E17" s="91">
        <v>45834</v>
      </c>
      <c r="F17" s="92">
        <v>0</v>
      </c>
      <c r="G17" s="67">
        <v>0</v>
      </c>
      <c r="H17" s="93"/>
      <c r="I17" s="81">
        <f t="shared" si="0"/>
        <v>0</v>
      </c>
      <c r="J17" s="82" t="str">
        <f t="shared" si="1"/>
        <v>Full Refresher</v>
      </c>
      <c r="K17" s="94"/>
      <c r="L17" s="95"/>
      <c r="M17" s="118" t="str">
        <f t="shared" si="2"/>
        <v/>
      </c>
      <c r="N17" s="93"/>
      <c r="O17" s="93"/>
      <c r="P17" s="118" t="str">
        <f t="shared" si="3"/>
        <v/>
      </c>
      <c r="Q17" s="122" t="str">
        <f t="shared" si="4"/>
        <v/>
      </c>
      <c r="R17" s="93"/>
      <c r="S17" s="93"/>
      <c r="T17" s="96"/>
      <c r="U17" s="87" t="str">
        <f t="shared" si="5"/>
        <v>Low Emerging Reader</v>
      </c>
      <c r="V17" s="97"/>
      <c r="Y17" s="221">
        <f t="shared" si="6"/>
        <v>0</v>
      </c>
    </row>
    <row r="18" spans="1:25" x14ac:dyDescent="0.3">
      <c r="A18" s="4">
        <v>8</v>
      </c>
      <c r="B18" s="85">
        <v>123456789019</v>
      </c>
      <c r="C18" s="76" t="s">
        <v>200</v>
      </c>
      <c r="D18" s="77" t="s">
        <v>81</v>
      </c>
      <c r="E18" s="78">
        <v>45834</v>
      </c>
      <c r="F18" s="79">
        <v>9</v>
      </c>
      <c r="G18" s="80"/>
      <c r="H18" s="85">
        <v>9</v>
      </c>
      <c r="I18" s="81">
        <f t="shared" si="0"/>
        <v>28</v>
      </c>
      <c r="J18" s="82" t="str">
        <f t="shared" si="1"/>
        <v>Grade Ready</v>
      </c>
      <c r="K18" s="83">
        <v>2</v>
      </c>
      <c r="L18" s="84">
        <v>4</v>
      </c>
      <c r="M18" s="118">
        <f t="shared" si="2"/>
        <v>91</v>
      </c>
      <c r="N18" s="85">
        <v>2</v>
      </c>
      <c r="O18" s="85">
        <v>0</v>
      </c>
      <c r="P18" s="118">
        <f t="shared" si="3"/>
        <v>45.5</v>
      </c>
      <c r="Q18" s="122">
        <f t="shared" si="4"/>
        <v>0.95789473684210524</v>
      </c>
      <c r="R18" s="85">
        <v>1</v>
      </c>
      <c r="S18" s="85">
        <v>3</v>
      </c>
      <c r="T18" s="86" t="s">
        <v>151</v>
      </c>
      <c r="U18" s="87" t="str">
        <f t="shared" si="5"/>
        <v>Transitioning Reader</v>
      </c>
      <c r="V18" s="88"/>
      <c r="Y18" s="221">
        <f t="shared" si="6"/>
        <v>0.16666666666666666</v>
      </c>
    </row>
    <row r="19" spans="1:25" x14ac:dyDescent="0.3">
      <c r="A19" s="5">
        <v>9</v>
      </c>
      <c r="B19" s="93">
        <v>123456789020</v>
      </c>
      <c r="C19" s="89" t="s">
        <v>201</v>
      </c>
      <c r="D19" s="90" t="s">
        <v>81</v>
      </c>
      <c r="E19" s="91">
        <v>45835</v>
      </c>
      <c r="F19" s="92">
        <v>8</v>
      </c>
      <c r="G19" s="67"/>
      <c r="H19" s="93">
        <v>9</v>
      </c>
      <c r="I19" s="81">
        <f t="shared" si="0"/>
        <v>27</v>
      </c>
      <c r="J19" s="82" t="str">
        <f t="shared" si="1"/>
        <v>Grade Ready</v>
      </c>
      <c r="K19" s="94">
        <v>2</v>
      </c>
      <c r="L19" s="95">
        <v>6</v>
      </c>
      <c r="M19" s="118">
        <f t="shared" si="2"/>
        <v>89</v>
      </c>
      <c r="N19" s="93">
        <v>2</v>
      </c>
      <c r="O19" s="93">
        <v>0</v>
      </c>
      <c r="P19" s="118">
        <f t="shared" si="3"/>
        <v>44.5</v>
      </c>
      <c r="Q19" s="122">
        <f t="shared" si="4"/>
        <v>0.93684210526315792</v>
      </c>
      <c r="R19" s="93">
        <v>0</v>
      </c>
      <c r="S19" s="93">
        <v>2</v>
      </c>
      <c r="T19" s="96" t="s">
        <v>151</v>
      </c>
      <c r="U19" s="87" t="str">
        <f t="shared" si="5"/>
        <v>Transitioning Reader</v>
      </c>
      <c r="V19" s="97"/>
      <c r="Y19" s="221">
        <f t="shared" si="6"/>
        <v>0</v>
      </c>
    </row>
    <row r="20" spans="1:25" x14ac:dyDescent="0.3">
      <c r="A20" s="4">
        <v>10</v>
      </c>
      <c r="B20" s="85">
        <v>123456789021</v>
      </c>
      <c r="C20" s="76" t="s">
        <v>202</v>
      </c>
      <c r="D20" s="77" t="s">
        <v>81</v>
      </c>
      <c r="E20" s="78">
        <v>45834</v>
      </c>
      <c r="F20" s="79">
        <v>10</v>
      </c>
      <c r="G20" s="80"/>
      <c r="H20" s="85">
        <v>10</v>
      </c>
      <c r="I20" s="81">
        <f t="shared" si="0"/>
        <v>30</v>
      </c>
      <c r="J20" s="82" t="str">
        <f t="shared" si="1"/>
        <v>Grade Ready</v>
      </c>
      <c r="K20" s="83">
        <v>2</v>
      </c>
      <c r="L20" s="84">
        <v>0</v>
      </c>
      <c r="M20" s="118">
        <f t="shared" si="2"/>
        <v>95</v>
      </c>
      <c r="N20" s="85">
        <v>2</v>
      </c>
      <c r="O20" s="85">
        <v>0</v>
      </c>
      <c r="P20" s="118">
        <f t="shared" si="3"/>
        <v>47.5</v>
      </c>
      <c r="Q20" s="122">
        <f t="shared" si="4"/>
        <v>1</v>
      </c>
      <c r="R20" s="85">
        <v>2</v>
      </c>
      <c r="S20" s="85">
        <v>3</v>
      </c>
      <c r="T20" s="86" t="s">
        <v>153</v>
      </c>
      <c r="U20" s="87" t="str">
        <f t="shared" si="5"/>
        <v>Transitioning Reader</v>
      </c>
      <c r="V20" s="88"/>
      <c r="Y20" s="221">
        <f t="shared" si="6"/>
        <v>0.33333333333333331</v>
      </c>
    </row>
    <row r="21" spans="1:25" x14ac:dyDescent="0.3">
      <c r="A21" s="5">
        <v>11</v>
      </c>
      <c r="B21" s="93">
        <v>123456789022</v>
      </c>
      <c r="C21" s="89" t="s">
        <v>203</v>
      </c>
      <c r="D21" s="90" t="s">
        <v>81</v>
      </c>
      <c r="E21" s="91">
        <v>45835</v>
      </c>
      <c r="F21" s="92">
        <v>0</v>
      </c>
      <c r="G21" s="67">
        <v>0</v>
      </c>
      <c r="H21" s="93">
        <v>10</v>
      </c>
      <c r="I21" s="81">
        <f t="shared" si="0"/>
        <v>0</v>
      </c>
      <c r="J21" s="82" t="str">
        <f t="shared" si="1"/>
        <v>Full Refresher</v>
      </c>
      <c r="K21" s="94"/>
      <c r="L21" s="95"/>
      <c r="M21" s="118" t="str">
        <f t="shared" si="2"/>
        <v/>
      </c>
      <c r="N21" s="93"/>
      <c r="O21" s="93"/>
      <c r="P21" s="118" t="str">
        <f t="shared" si="3"/>
        <v/>
      </c>
      <c r="Q21" s="122" t="str">
        <f t="shared" si="4"/>
        <v/>
      </c>
      <c r="R21" s="93"/>
      <c r="S21" s="93"/>
      <c r="T21" s="96"/>
      <c r="U21" s="87" t="str">
        <f t="shared" si="5"/>
        <v>Low Emerging Reader</v>
      </c>
      <c r="V21" s="97"/>
      <c r="Y21" s="221">
        <f t="shared" si="6"/>
        <v>0</v>
      </c>
    </row>
    <row r="22" spans="1:25" x14ac:dyDescent="0.3">
      <c r="A22" s="4">
        <v>12</v>
      </c>
      <c r="B22" s="85">
        <v>123456789023</v>
      </c>
      <c r="C22" s="76" t="s">
        <v>204</v>
      </c>
      <c r="D22" s="77" t="s">
        <v>81</v>
      </c>
      <c r="E22" s="78">
        <v>45835</v>
      </c>
      <c r="F22" s="79">
        <v>0</v>
      </c>
      <c r="G22" s="80">
        <v>0</v>
      </c>
      <c r="H22" s="85">
        <v>10</v>
      </c>
      <c r="I22" s="81">
        <f t="shared" si="0"/>
        <v>0</v>
      </c>
      <c r="J22" s="82" t="str">
        <f t="shared" si="1"/>
        <v>Full Refresher</v>
      </c>
      <c r="K22" s="83"/>
      <c r="L22" s="84"/>
      <c r="M22" s="118" t="str">
        <f t="shared" si="2"/>
        <v/>
      </c>
      <c r="N22" s="85"/>
      <c r="O22" s="85"/>
      <c r="P22" s="118" t="str">
        <f t="shared" si="3"/>
        <v/>
      </c>
      <c r="Q22" s="122" t="str">
        <f t="shared" si="4"/>
        <v/>
      </c>
      <c r="R22" s="85"/>
      <c r="S22" s="85"/>
      <c r="T22" s="86"/>
      <c r="U22" s="87" t="str">
        <f t="shared" si="5"/>
        <v>Low Emerging Reader</v>
      </c>
      <c r="V22" s="88"/>
      <c r="Y22" s="221">
        <f t="shared" si="6"/>
        <v>0</v>
      </c>
    </row>
    <row r="23" spans="1:25" x14ac:dyDescent="0.3">
      <c r="A23" s="5">
        <v>13</v>
      </c>
      <c r="B23" s="93">
        <v>123456789024</v>
      </c>
      <c r="C23" s="89" t="s">
        <v>205</v>
      </c>
      <c r="D23" s="90" t="s">
        <v>81</v>
      </c>
      <c r="E23" s="91">
        <v>45833</v>
      </c>
      <c r="F23" s="92">
        <v>8</v>
      </c>
      <c r="G23" s="67"/>
      <c r="H23" s="93">
        <v>7</v>
      </c>
      <c r="I23" s="81">
        <f t="shared" si="0"/>
        <v>25</v>
      </c>
      <c r="J23" s="82" t="str">
        <f t="shared" si="1"/>
        <v>Light Refresher</v>
      </c>
      <c r="K23" s="94">
        <v>2</v>
      </c>
      <c r="L23" s="95">
        <v>21</v>
      </c>
      <c r="M23" s="118">
        <f t="shared" si="2"/>
        <v>74</v>
      </c>
      <c r="N23" s="93">
        <v>2</v>
      </c>
      <c r="O23" s="93">
        <v>0</v>
      </c>
      <c r="P23" s="118">
        <f t="shared" si="3"/>
        <v>37</v>
      </c>
      <c r="Q23" s="122">
        <f t="shared" si="4"/>
        <v>0.77894736842105261</v>
      </c>
      <c r="R23" s="93">
        <v>1</v>
      </c>
      <c r="S23" s="93">
        <v>2</v>
      </c>
      <c r="T23" s="96" t="s">
        <v>160</v>
      </c>
      <c r="U23" s="87" t="str">
        <f t="shared" si="5"/>
        <v>Transitioning Reader</v>
      </c>
      <c r="V23" s="97"/>
      <c r="Y23" s="221">
        <f t="shared" si="6"/>
        <v>0.16666666666666666</v>
      </c>
    </row>
    <row r="24" spans="1:25" x14ac:dyDescent="0.3">
      <c r="A24" s="4">
        <v>14</v>
      </c>
      <c r="B24" s="85">
        <v>123456789025</v>
      </c>
      <c r="C24" s="76" t="s">
        <v>206</v>
      </c>
      <c r="D24" s="77" t="s">
        <v>82</v>
      </c>
      <c r="E24" s="78">
        <v>45835</v>
      </c>
      <c r="F24" s="79">
        <v>0</v>
      </c>
      <c r="G24" s="80">
        <v>0</v>
      </c>
      <c r="H24" s="85">
        <v>10</v>
      </c>
      <c r="I24" s="81">
        <f t="shared" si="0"/>
        <v>0</v>
      </c>
      <c r="J24" s="82" t="str">
        <f t="shared" si="1"/>
        <v>Full Refresher</v>
      </c>
      <c r="K24" s="83"/>
      <c r="L24" s="84"/>
      <c r="M24" s="118" t="str">
        <f t="shared" si="2"/>
        <v/>
      </c>
      <c r="N24" s="85"/>
      <c r="O24" s="85"/>
      <c r="P24" s="118" t="str">
        <f t="shared" si="3"/>
        <v/>
      </c>
      <c r="Q24" s="122" t="str">
        <f t="shared" si="4"/>
        <v/>
      </c>
      <c r="R24" s="85"/>
      <c r="S24" s="85"/>
      <c r="T24" s="86"/>
      <c r="U24" s="87" t="str">
        <f t="shared" si="5"/>
        <v>Low Emerging Reader</v>
      </c>
      <c r="V24" s="88"/>
      <c r="Y24" s="221">
        <f t="shared" si="6"/>
        <v>0</v>
      </c>
    </row>
    <row r="25" spans="1:25" x14ac:dyDescent="0.3">
      <c r="A25" s="5">
        <v>15</v>
      </c>
      <c r="B25" s="93">
        <v>123456789026</v>
      </c>
      <c r="C25" s="89" t="s">
        <v>207</v>
      </c>
      <c r="D25" s="90" t="s">
        <v>82</v>
      </c>
      <c r="E25" s="91">
        <v>45833</v>
      </c>
      <c r="F25" s="92">
        <v>0</v>
      </c>
      <c r="G25" s="67">
        <v>0</v>
      </c>
      <c r="H25" s="93"/>
      <c r="I25" s="81">
        <f t="shared" si="0"/>
        <v>0</v>
      </c>
      <c r="J25" s="82" t="str">
        <f t="shared" si="1"/>
        <v>Full Refresher</v>
      </c>
      <c r="K25" s="94"/>
      <c r="L25" s="95"/>
      <c r="M25" s="118" t="str">
        <f t="shared" si="2"/>
        <v/>
      </c>
      <c r="N25" s="93"/>
      <c r="O25" s="93"/>
      <c r="P25" s="118" t="str">
        <f t="shared" si="3"/>
        <v/>
      </c>
      <c r="Q25" s="122" t="str">
        <f t="shared" si="4"/>
        <v/>
      </c>
      <c r="R25" s="93"/>
      <c r="S25" s="93"/>
      <c r="T25" s="96"/>
      <c r="U25" s="87" t="str">
        <f t="shared" si="5"/>
        <v>Low Emerging Reader</v>
      </c>
      <c r="V25" s="97"/>
      <c r="Y25" s="221">
        <f t="shared" si="6"/>
        <v>0</v>
      </c>
    </row>
    <row r="26" spans="1:25" x14ac:dyDescent="0.3">
      <c r="A26" s="4">
        <v>16</v>
      </c>
      <c r="B26" s="85">
        <v>123456789027</v>
      </c>
      <c r="C26" s="76" t="s">
        <v>208</v>
      </c>
      <c r="D26" s="77" t="s">
        <v>82</v>
      </c>
      <c r="E26" s="78">
        <v>45834</v>
      </c>
      <c r="F26" s="79">
        <v>9</v>
      </c>
      <c r="G26" s="80"/>
      <c r="H26" s="85">
        <v>9</v>
      </c>
      <c r="I26" s="81">
        <f t="shared" si="0"/>
        <v>28</v>
      </c>
      <c r="J26" s="82" t="str">
        <f t="shared" si="1"/>
        <v>Grade Ready</v>
      </c>
      <c r="K26" s="83">
        <v>2</v>
      </c>
      <c r="L26" s="84">
        <v>0</v>
      </c>
      <c r="M26" s="118">
        <f t="shared" si="2"/>
        <v>95</v>
      </c>
      <c r="N26" s="85">
        <v>2</v>
      </c>
      <c r="O26" s="85">
        <v>0</v>
      </c>
      <c r="P26" s="118">
        <f t="shared" si="3"/>
        <v>47.5</v>
      </c>
      <c r="Q26" s="122">
        <f t="shared" si="4"/>
        <v>1</v>
      </c>
      <c r="R26" s="85">
        <v>4</v>
      </c>
      <c r="S26" s="85">
        <v>3</v>
      </c>
      <c r="T26" s="86" t="s">
        <v>153</v>
      </c>
      <c r="U26" s="87" t="str">
        <f t="shared" si="5"/>
        <v>Transitioning Reader</v>
      </c>
      <c r="V26" s="88"/>
      <c r="Y26" s="221">
        <f t="shared" si="6"/>
        <v>0.66666666666666663</v>
      </c>
    </row>
    <row r="27" spans="1:25" x14ac:dyDescent="0.3">
      <c r="A27" s="5">
        <v>17</v>
      </c>
      <c r="B27" s="93">
        <v>123456789028</v>
      </c>
      <c r="C27" s="89" t="s">
        <v>209</v>
      </c>
      <c r="D27" s="90" t="s">
        <v>82</v>
      </c>
      <c r="E27" s="91">
        <v>45834</v>
      </c>
      <c r="F27" s="92">
        <v>0</v>
      </c>
      <c r="G27" s="67">
        <v>0</v>
      </c>
      <c r="H27" s="93">
        <v>10</v>
      </c>
      <c r="I27" s="81">
        <f t="shared" si="0"/>
        <v>0</v>
      </c>
      <c r="J27" s="82" t="str">
        <f t="shared" si="1"/>
        <v>Full Refresher</v>
      </c>
      <c r="K27" s="94"/>
      <c r="L27" s="95"/>
      <c r="M27" s="118" t="str">
        <f t="shared" si="2"/>
        <v/>
      </c>
      <c r="N27" s="93"/>
      <c r="O27" s="93"/>
      <c r="P27" s="118" t="str">
        <f t="shared" si="3"/>
        <v/>
      </c>
      <c r="Q27" s="122" t="str">
        <f t="shared" si="4"/>
        <v/>
      </c>
      <c r="R27" s="93"/>
      <c r="S27" s="93"/>
      <c r="T27" s="96"/>
      <c r="U27" s="87" t="str">
        <f t="shared" si="5"/>
        <v>Low Emerging Reader</v>
      </c>
      <c r="V27" s="97"/>
      <c r="Y27" s="221">
        <f t="shared" si="6"/>
        <v>0</v>
      </c>
    </row>
    <row r="28" spans="1:25" x14ac:dyDescent="0.3">
      <c r="A28" s="4">
        <v>18</v>
      </c>
      <c r="B28" s="85">
        <v>123456789029</v>
      </c>
      <c r="C28" s="76" t="s">
        <v>210</v>
      </c>
      <c r="D28" s="77" t="s">
        <v>82</v>
      </c>
      <c r="E28" s="78">
        <v>45834</v>
      </c>
      <c r="F28" s="79">
        <v>9</v>
      </c>
      <c r="G28" s="80"/>
      <c r="H28" s="85">
        <v>9</v>
      </c>
      <c r="I28" s="81">
        <f t="shared" si="0"/>
        <v>28</v>
      </c>
      <c r="J28" s="82" t="str">
        <f t="shared" si="1"/>
        <v>Grade Ready</v>
      </c>
      <c r="K28" s="83">
        <v>2</v>
      </c>
      <c r="L28" s="84">
        <v>0</v>
      </c>
      <c r="M28" s="118">
        <f t="shared" si="2"/>
        <v>95</v>
      </c>
      <c r="N28" s="85">
        <v>2</v>
      </c>
      <c r="O28" s="85">
        <v>0</v>
      </c>
      <c r="P28" s="118">
        <f t="shared" si="3"/>
        <v>47.5</v>
      </c>
      <c r="Q28" s="122">
        <f t="shared" si="4"/>
        <v>1</v>
      </c>
      <c r="R28" s="85">
        <v>1</v>
      </c>
      <c r="S28" s="85">
        <v>3</v>
      </c>
      <c r="T28" s="86" t="s">
        <v>151</v>
      </c>
      <c r="U28" s="87" t="str">
        <f t="shared" si="5"/>
        <v>Transitioning Reader</v>
      </c>
      <c r="V28" s="88"/>
      <c r="Y28" s="221">
        <f t="shared" si="6"/>
        <v>0.16666666666666666</v>
      </c>
    </row>
    <row r="29" spans="1:25" x14ac:dyDescent="0.3">
      <c r="A29" s="5">
        <v>19</v>
      </c>
      <c r="B29" s="93">
        <v>123456789030</v>
      </c>
      <c r="C29" s="89" t="s">
        <v>211</v>
      </c>
      <c r="D29" s="90" t="s">
        <v>82</v>
      </c>
      <c r="E29" s="91">
        <v>45833</v>
      </c>
      <c r="F29" s="92">
        <v>10</v>
      </c>
      <c r="G29" s="67"/>
      <c r="H29" s="93">
        <v>10</v>
      </c>
      <c r="I29" s="81">
        <f t="shared" si="0"/>
        <v>30</v>
      </c>
      <c r="J29" s="82" t="str">
        <f t="shared" si="1"/>
        <v>Grade Ready</v>
      </c>
      <c r="K29" s="94">
        <v>2</v>
      </c>
      <c r="L29" s="95">
        <v>0</v>
      </c>
      <c r="M29" s="118">
        <f t="shared" si="2"/>
        <v>95</v>
      </c>
      <c r="N29" s="93">
        <v>2</v>
      </c>
      <c r="O29" s="93">
        <v>0</v>
      </c>
      <c r="P29" s="118">
        <f t="shared" si="3"/>
        <v>47.5</v>
      </c>
      <c r="Q29" s="122">
        <f t="shared" si="4"/>
        <v>1</v>
      </c>
      <c r="R29" s="93">
        <v>4</v>
      </c>
      <c r="S29" s="93">
        <v>3</v>
      </c>
      <c r="T29" s="96" t="s">
        <v>151</v>
      </c>
      <c r="U29" s="87" t="str">
        <f t="shared" si="5"/>
        <v>Transitioning Reader</v>
      </c>
      <c r="V29" s="97"/>
      <c r="Y29" s="221">
        <f t="shared" si="6"/>
        <v>0.66666666666666663</v>
      </c>
    </row>
    <row r="30" spans="1:25" x14ac:dyDescent="0.3">
      <c r="A30" s="4">
        <v>20</v>
      </c>
      <c r="B30" s="85">
        <v>123456789031</v>
      </c>
      <c r="C30" s="76" t="s">
        <v>212</v>
      </c>
      <c r="D30" s="77" t="s">
        <v>82</v>
      </c>
      <c r="E30" s="78">
        <v>45835</v>
      </c>
      <c r="F30" s="79">
        <v>10</v>
      </c>
      <c r="G30" s="80"/>
      <c r="H30" s="85">
        <v>10</v>
      </c>
      <c r="I30" s="81">
        <f t="shared" si="0"/>
        <v>30</v>
      </c>
      <c r="J30" s="82" t="str">
        <f t="shared" si="1"/>
        <v>Grade Ready</v>
      </c>
      <c r="K30" s="83">
        <v>2</v>
      </c>
      <c r="L30" s="84">
        <v>0</v>
      </c>
      <c r="M30" s="118">
        <f t="shared" si="2"/>
        <v>95</v>
      </c>
      <c r="N30" s="85">
        <v>2</v>
      </c>
      <c r="O30" s="85">
        <v>0</v>
      </c>
      <c r="P30" s="118">
        <f t="shared" si="3"/>
        <v>47.5</v>
      </c>
      <c r="Q30" s="122">
        <f t="shared" si="4"/>
        <v>1</v>
      </c>
      <c r="R30" s="85">
        <v>2</v>
      </c>
      <c r="S30" s="85">
        <v>3</v>
      </c>
      <c r="T30" s="86" t="s">
        <v>153</v>
      </c>
      <c r="U30" s="87" t="str">
        <f t="shared" si="5"/>
        <v>Transitioning Reader</v>
      </c>
      <c r="V30" s="88"/>
      <c r="Y30" s="221">
        <f t="shared" si="6"/>
        <v>0.33333333333333331</v>
      </c>
    </row>
    <row r="31" spans="1:25" x14ac:dyDescent="0.3">
      <c r="A31" s="5">
        <v>21</v>
      </c>
      <c r="B31" s="93">
        <v>123456789032</v>
      </c>
      <c r="C31" s="89" t="s">
        <v>213</v>
      </c>
      <c r="D31" s="90" t="s">
        <v>82</v>
      </c>
      <c r="E31" s="91">
        <v>45835</v>
      </c>
      <c r="F31" s="92">
        <v>10</v>
      </c>
      <c r="G31" s="67"/>
      <c r="H31" s="93">
        <v>10</v>
      </c>
      <c r="I31" s="81">
        <f t="shared" si="0"/>
        <v>30</v>
      </c>
      <c r="J31" s="82" t="str">
        <f t="shared" si="1"/>
        <v>Grade Ready</v>
      </c>
      <c r="K31" s="94">
        <v>2</v>
      </c>
      <c r="L31" s="95">
        <v>0</v>
      </c>
      <c r="M31" s="118">
        <f t="shared" si="2"/>
        <v>95</v>
      </c>
      <c r="N31" s="93">
        <v>2</v>
      </c>
      <c r="O31" s="93">
        <v>0</v>
      </c>
      <c r="P31" s="118">
        <f t="shared" si="3"/>
        <v>47.5</v>
      </c>
      <c r="Q31" s="122">
        <f t="shared" si="4"/>
        <v>1</v>
      </c>
      <c r="R31" s="93">
        <v>5</v>
      </c>
      <c r="S31" s="93">
        <v>4</v>
      </c>
      <c r="T31" s="96" t="s">
        <v>153</v>
      </c>
      <c r="U31" s="87" t="str">
        <f t="shared" si="5"/>
        <v>Reading At Grade Level</v>
      </c>
      <c r="V31" s="97"/>
      <c r="Y31" s="221">
        <f t="shared" si="6"/>
        <v>0.83333333333333337</v>
      </c>
    </row>
    <row r="32" spans="1:25" x14ac:dyDescent="0.3">
      <c r="A32" s="4">
        <v>22</v>
      </c>
      <c r="B32" s="85">
        <v>123456789033</v>
      </c>
      <c r="C32" s="76" t="s">
        <v>214</v>
      </c>
      <c r="D32" s="77" t="s">
        <v>82</v>
      </c>
      <c r="E32" s="78">
        <v>45833</v>
      </c>
      <c r="F32" s="79">
        <v>0</v>
      </c>
      <c r="G32" s="80">
        <v>0</v>
      </c>
      <c r="H32" s="85">
        <v>10</v>
      </c>
      <c r="I32" s="81">
        <f t="shared" si="0"/>
        <v>0</v>
      </c>
      <c r="J32" s="82" t="str">
        <f t="shared" si="1"/>
        <v>Full Refresher</v>
      </c>
      <c r="K32" s="83"/>
      <c r="L32" s="84"/>
      <c r="M32" s="118" t="str">
        <f t="shared" si="2"/>
        <v/>
      </c>
      <c r="N32" s="85"/>
      <c r="O32" s="85"/>
      <c r="P32" s="118" t="str">
        <f t="shared" si="3"/>
        <v/>
      </c>
      <c r="Q32" s="122" t="str">
        <f t="shared" si="4"/>
        <v/>
      </c>
      <c r="R32" s="85"/>
      <c r="S32" s="85"/>
      <c r="T32" s="86"/>
      <c r="U32" s="87" t="str">
        <f t="shared" si="5"/>
        <v>Low Emerging Reader</v>
      </c>
      <c r="V32" s="88"/>
      <c r="Y32" s="221">
        <f t="shared" si="6"/>
        <v>0</v>
      </c>
    </row>
    <row r="33" spans="1:25" x14ac:dyDescent="0.3">
      <c r="A33" s="5">
        <v>23</v>
      </c>
      <c r="B33" s="93">
        <v>123456789034</v>
      </c>
      <c r="C33" s="89" t="s">
        <v>215</v>
      </c>
      <c r="D33" s="90" t="s">
        <v>82</v>
      </c>
      <c r="E33" s="91">
        <v>45833</v>
      </c>
      <c r="F33" s="92">
        <v>0</v>
      </c>
      <c r="G33" s="67">
        <v>0</v>
      </c>
      <c r="H33" s="93"/>
      <c r="I33" s="81">
        <f t="shared" si="0"/>
        <v>0</v>
      </c>
      <c r="J33" s="82" t="str">
        <f t="shared" si="1"/>
        <v>Full Refresher</v>
      </c>
      <c r="K33" s="94"/>
      <c r="L33" s="95"/>
      <c r="M33" s="118" t="str">
        <f t="shared" si="2"/>
        <v/>
      </c>
      <c r="N33" s="93"/>
      <c r="O33" s="93"/>
      <c r="P33" s="118" t="str">
        <f t="shared" si="3"/>
        <v/>
      </c>
      <c r="Q33" s="122" t="str">
        <f t="shared" si="4"/>
        <v/>
      </c>
      <c r="R33" s="93"/>
      <c r="S33" s="93"/>
      <c r="T33" s="96"/>
      <c r="U33" s="87" t="str">
        <f t="shared" si="5"/>
        <v>Low Emerging Reader</v>
      </c>
      <c r="V33" s="97"/>
      <c r="Y33" s="221">
        <f t="shared" si="6"/>
        <v>0</v>
      </c>
    </row>
    <row r="34" spans="1:25" x14ac:dyDescent="0.3">
      <c r="A34" s="4">
        <v>24</v>
      </c>
      <c r="B34" s="85">
        <v>123456789035</v>
      </c>
      <c r="C34" s="76" t="s">
        <v>216</v>
      </c>
      <c r="D34" s="77" t="s">
        <v>82</v>
      </c>
      <c r="E34" s="78">
        <v>45834</v>
      </c>
      <c r="F34" s="79">
        <v>10</v>
      </c>
      <c r="G34" s="80"/>
      <c r="H34" s="85">
        <v>10</v>
      </c>
      <c r="I34" s="81">
        <f t="shared" si="0"/>
        <v>30</v>
      </c>
      <c r="J34" s="82" t="str">
        <f t="shared" si="1"/>
        <v>Grade Ready</v>
      </c>
      <c r="K34" s="83">
        <v>2</v>
      </c>
      <c r="L34" s="84">
        <v>0</v>
      </c>
      <c r="M34" s="118">
        <f t="shared" si="2"/>
        <v>95</v>
      </c>
      <c r="N34" s="85">
        <v>1</v>
      </c>
      <c r="O34" s="85">
        <v>59</v>
      </c>
      <c r="P34" s="118">
        <f t="shared" si="3"/>
        <v>47.899159663865547</v>
      </c>
      <c r="Q34" s="122">
        <f t="shared" si="4"/>
        <v>1</v>
      </c>
      <c r="R34" s="85">
        <v>4</v>
      </c>
      <c r="S34" s="85">
        <v>3</v>
      </c>
      <c r="T34" s="86" t="s">
        <v>153</v>
      </c>
      <c r="U34" s="87" t="str">
        <f t="shared" si="5"/>
        <v>Transitioning Reader</v>
      </c>
      <c r="V34" s="88"/>
      <c r="Y34" s="221">
        <f t="shared" si="6"/>
        <v>0.66666666666666663</v>
      </c>
    </row>
    <row r="35" spans="1:25" x14ac:dyDescent="0.3">
      <c r="A35" s="5">
        <v>25</v>
      </c>
      <c r="B35" s="93"/>
      <c r="C35" s="89"/>
      <c r="D35" s="90"/>
      <c r="E35" s="91"/>
      <c r="F35" s="92"/>
      <c r="G35" s="67"/>
      <c r="H35" s="93">
        <v>10</v>
      </c>
      <c r="I35" s="81" t="str">
        <f t="shared" si="0"/>
        <v/>
      </c>
      <c r="J35" s="82" t="str">
        <f t="shared" si="1"/>
        <v/>
      </c>
      <c r="K35" s="94"/>
      <c r="L35" s="95"/>
      <c r="M35" s="118" t="str">
        <f t="shared" si="2"/>
        <v/>
      </c>
      <c r="N35" s="93"/>
      <c r="O35" s="93"/>
      <c r="P35" s="118" t="str">
        <f t="shared" si="3"/>
        <v/>
      </c>
      <c r="Q35" s="122" t="str">
        <f t="shared" si="4"/>
        <v/>
      </c>
      <c r="R35" s="93"/>
      <c r="S35" s="93"/>
      <c r="T35" s="96"/>
      <c r="U35" s="87" t="str">
        <f t="shared" si="5"/>
        <v/>
      </c>
      <c r="V35" s="97"/>
      <c r="Y35" s="221" t="str">
        <f t="shared" si="6"/>
        <v/>
      </c>
    </row>
    <row r="36" spans="1:25" x14ac:dyDescent="0.3">
      <c r="A36" s="4">
        <v>26</v>
      </c>
      <c r="B36" s="85"/>
      <c r="C36" s="76"/>
      <c r="D36" s="77"/>
      <c r="E36" s="78"/>
      <c r="F36" s="79"/>
      <c r="G36" s="80"/>
      <c r="H36" s="85">
        <v>9</v>
      </c>
      <c r="I36" s="81" t="str">
        <f t="shared" si="0"/>
        <v/>
      </c>
      <c r="J36" s="82" t="str">
        <f t="shared" si="1"/>
        <v/>
      </c>
      <c r="K36" s="83"/>
      <c r="L36" s="84"/>
      <c r="M36" s="118" t="str">
        <f t="shared" si="2"/>
        <v/>
      </c>
      <c r="N36" s="85"/>
      <c r="O36" s="85"/>
      <c r="P36" s="118" t="str">
        <f t="shared" si="3"/>
        <v/>
      </c>
      <c r="Q36" s="122" t="str">
        <f t="shared" si="4"/>
        <v/>
      </c>
      <c r="R36" s="85"/>
      <c r="S36" s="85"/>
      <c r="T36" s="86"/>
      <c r="U36" s="87" t="str">
        <f t="shared" si="5"/>
        <v/>
      </c>
      <c r="V36" s="88"/>
      <c r="Y36" s="221" t="str">
        <f t="shared" si="6"/>
        <v/>
      </c>
    </row>
    <row r="37" spans="1:25" x14ac:dyDescent="0.3">
      <c r="A37" s="5">
        <v>27</v>
      </c>
      <c r="B37" s="93"/>
      <c r="C37" s="89"/>
      <c r="D37" s="90"/>
      <c r="E37" s="91"/>
      <c r="F37" s="92"/>
      <c r="G37" s="67"/>
      <c r="H37" s="93">
        <v>9</v>
      </c>
      <c r="I37" s="81" t="str">
        <f t="shared" si="0"/>
        <v/>
      </c>
      <c r="J37" s="82" t="str">
        <f t="shared" si="1"/>
        <v/>
      </c>
      <c r="K37" s="94"/>
      <c r="L37" s="95"/>
      <c r="M37" s="118" t="str">
        <f t="shared" si="2"/>
        <v/>
      </c>
      <c r="N37" s="93"/>
      <c r="O37" s="93"/>
      <c r="P37" s="118" t="str">
        <f t="shared" si="3"/>
        <v/>
      </c>
      <c r="Q37" s="122" t="str">
        <f t="shared" si="4"/>
        <v/>
      </c>
      <c r="R37" s="93"/>
      <c r="S37" s="93"/>
      <c r="T37" s="96"/>
      <c r="U37" s="87" t="str">
        <f t="shared" si="5"/>
        <v/>
      </c>
      <c r="V37" s="97"/>
      <c r="Y37" s="221" t="str">
        <f t="shared" si="6"/>
        <v/>
      </c>
    </row>
    <row r="38" spans="1:25" x14ac:dyDescent="0.3">
      <c r="A38" s="4">
        <v>28</v>
      </c>
      <c r="B38" s="85"/>
      <c r="C38" s="76"/>
      <c r="D38" s="77"/>
      <c r="E38" s="78"/>
      <c r="F38" s="79"/>
      <c r="G38" s="80"/>
      <c r="H38" s="85"/>
      <c r="I38" s="81" t="str">
        <f t="shared" si="0"/>
        <v/>
      </c>
      <c r="J38" s="82" t="str">
        <f t="shared" si="1"/>
        <v/>
      </c>
      <c r="K38" s="83"/>
      <c r="L38" s="84"/>
      <c r="M38" s="118" t="str">
        <f t="shared" si="2"/>
        <v/>
      </c>
      <c r="N38" s="85"/>
      <c r="O38" s="85"/>
      <c r="P38" s="118" t="str">
        <f t="shared" si="3"/>
        <v/>
      </c>
      <c r="Q38" s="122" t="str">
        <f t="shared" si="4"/>
        <v/>
      </c>
      <c r="R38" s="85"/>
      <c r="S38" s="85"/>
      <c r="T38" s="86"/>
      <c r="U38" s="87" t="str">
        <f t="shared" si="5"/>
        <v/>
      </c>
      <c r="V38" s="88"/>
      <c r="Y38" s="221" t="str">
        <f t="shared" si="6"/>
        <v/>
      </c>
    </row>
    <row r="39" spans="1:25" x14ac:dyDescent="0.3">
      <c r="A39" s="5">
        <v>29</v>
      </c>
      <c r="B39" s="93"/>
      <c r="C39" s="89"/>
      <c r="D39" s="90"/>
      <c r="E39" s="91"/>
      <c r="F39" s="92"/>
      <c r="G39" s="67"/>
      <c r="H39" s="93">
        <v>10</v>
      </c>
      <c r="I39" s="81" t="str">
        <f t="shared" si="0"/>
        <v/>
      </c>
      <c r="J39" s="82" t="str">
        <f t="shared" si="1"/>
        <v/>
      </c>
      <c r="K39" s="94"/>
      <c r="L39" s="95"/>
      <c r="M39" s="118" t="str">
        <f t="shared" si="2"/>
        <v/>
      </c>
      <c r="N39" s="93"/>
      <c r="O39" s="93"/>
      <c r="P39" s="118" t="str">
        <f t="shared" si="3"/>
        <v/>
      </c>
      <c r="Q39" s="122" t="str">
        <f t="shared" si="4"/>
        <v/>
      </c>
      <c r="R39" s="93"/>
      <c r="S39" s="93"/>
      <c r="T39" s="96"/>
      <c r="U39" s="87" t="str">
        <f t="shared" si="5"/>
        <v/>
      </c>
      <c r="V39" s="97"/>
      <c r="Y39" s="221" t="str">
        <f t="shared" si="6"/>
        <v/>
      </c>
    </row>
    <row r="40" spans="1:25" x14ac:dyDescent="0.3">
      <c r="A40" s="4">
        <v>30</v>
      </c>
      <c r="B40" s="85"/>
      <c r="C40" s="76"/>
      <c r="D40" s="77"/>
      <c r="E40" s="78"/>
      <c r="F40" s="79"/>
      <c r="G40" s="80"/>
      <c r="H40" s="85">
        <v>10</v>
      </c>
      <c r="I40" s="81" t="str">
        <f t="shared" si="0"/>
        <v/>
      </c>
      <c r="J40" s="82" t="str">
        <f t="shared" si="1"/>
        <v/>
      </c>
      <c r="K40" s="83"/>
      <c r="L40" s="84"/>
      <c r="M40" s="118" t="str">
        <f t="shared" si="2"/>
        <v/>
      </c>
      <c r="N40" s="85"/>
      <c r="O40" s="85"/>
      <c r="P40" s="118" t="str">
        <f t="shared" si="3"/>
        <v/>
      </c>
      <c r="Q40" s="122" t="str">
        <f t="shared" si="4"/>
        <v/>
      </c>
      <c r="R40" s="85"/>
      <c r="S40" s="85"/>
      <c r="T40" s="86"/>
      <c r="U40" s="87" t="str">
        <f t="shared" si="5"/>
        <v/>
      </c>
      <c r="V40" s="88"/>
      <c r="Y40" s="221" t="str">
        <f t="shared" si="6"/>
        <v/>
      </c>
    </row>
    <row r="41" spans="1:25" x14ac:dyDescent="0.3">
      <c r="A41" s="5">
        <v>31</v>
      </c>
      <c r="B41" s="93"/>
      <c r="C41" s="89"/>
      <c r="D41" s="90"/>
      <c r="E41" s="91"/>
      <c r="F41" s="92"/>
      <c r="G41" s="67"/>
      <c r="H41" s="93">
        <v>10</v>
      </c>
      <c r="I41" s="81" t="str">
        <f t="shared" si="0"/>
        <v/>
      </c>
      <c r="J41" s="82" t="str">
        <f t="shared" si="1"/>
        <v/>
      </c>
      <c r="K41" s="94"/>
      <c r="L41" s="95"/>
      <c r="M41" s="118" t="str">
        <f t="shared" si="2"/>
        <v/>
      </c>
      <c r="N41" s="93"/>
      <c r="O41" s="93"/>
      <c r="P41" s="118" t="str">
        <f t="shared" si="3"/>
        <v/>
      </c>
      <c r="Q41" s="122" t="str">
        <f t="shared" si="4"/>
        <v/>
      </c>
      <c r="R41" s="93"/>
      <c r="S41" s="93"/>
      <c r="T41" s="96"/>
      <c r="U41" s="87" t="str">
        <f t="shared" si="5"/>
        <v/>
      </c>
      <c r="V41" s="97"/>
      <c r="Y41" s="221" t="str">
        <f t="shared" si="6"/>
        <v/>
      </c>
    </row>
    <row r="42" spans="1:25" x14ac:dyDescent="0.3">
      <c r="A42" s="4">
        <v>32</v>
      </c>
      <c r="B42" s="85"/>
      <c r="C42" s="76"/>
      <c r="D42" s="77"/>
      <c r="E42" s="78"/>
      <c r="F42" s="79"/>
      <c r="G42" s="80"/>
      <c r="H42" s="85"/>
      <c r="I42" s="81" t="str">
        <f t="shared" si="0"/>
        <v/>
      </c>
      <c r="J42" s="82" t="str">
        <f t="shared" si="1"/>
        <v/>
      </c>
      <c r="K42" s="83"/>
      <c r="L42" s="84"/>
      <c r="M42" s="118" t="str">
        <f t="shared" si="2"/>
        <v/>
      </c>
      <c r="N42" s="85"/>
      <c r="O42" s="85"/>
      <c r="P42" s="118" t="str">
        <f t="shared" si="3"/>
        <v/>
      </c>
      <c r="Q42" s="122" t="str">
        <f t="shared" si="4"/>
        <v/>
      </c>
      <c r="R42" s="85"/>
      <c r="S42" s="85"/>
      <c r="T42" s="86"/>
      <c r="U42" s="87" t="str">
        <f t="shared" si="5"/>
        <v/>
      </c>
      <c r="V42" s="88"/>
      <c r="Y42" s="221" t="str">
        <f t="shared" si="6"/>
        <v/>
      </c>
    </row>
    <row r="43" spans="1:25" x14ac:dyDescent="0.3">
      <c r="A43" s="5">
        <v>33</v>
      </c>
      <c r="B43" s="93"/>
      <c r="C43" s="89"/>
      <c r="D43" s="90"/>
      <c r="E43" s="91"/>
      <c r="F43" s="92"/>
      <c r="G43" s="67"/>
      <c r="H43" s="93"/>
      <c r="I43" s="81" t="str">
        <f t="shared" si="0"/>
        <v/>
      </c>
      <c r="J43" s="82" t="str">
        <f t="shared" si="1"/>
        <v/>
      </c>
      <c r="K43" s="94"/>
      <c r="L43" s="95"/>
      <c r="M43" s="118" t="str">
        <f t="shared" si="2"/>
        <v/>
      </c>
      <c r="N43" s="93"/>
      <c r="O43" s="93"/>
      <c r="P43" s="118" t="str">
        <f t="shared" si="3"/>
        <v/>
      </c>
      <c r="Q43" s="122" t="str">
        <f t="shared" si="4"/>
        <v/>
      </c>
      <c r="R43" s="93"/>
      <c r="S43" s="93"/>
      <c r="T43" s="96"/>
      <c r="U43" s="87" t="str">
        <f t="shared" si="5"/>
        <v/>
      </c>
      <c r="V43" s="97"/>
      <c r="Y43" s="221" t="str">
        <f t="shared" si="6"/>
        <v/>
      </c>
    </row>
    <row r="44" spans="1:25" x14ac:dyDescent="0.3">
      <c r="A44" s="4">
        <v>34</v>
      </c>
      <c r="B44" s="85"/>
      <c r="C44" s="76"/>
      <c r="D44" s="77"/>
      <c r="E44" s="78"/>
      <c r="F44" s="79"/>
      <c r="G44" s="80"/>
      <c r="H44" s="85"/>
      <c r="I44" s="81" t="str">
        <f t="shared" si="0"/>
        <v/>
      </c>
      <c r="J44" s="82" t="str">
        <f t="shared" si="1"/>
        <v/>
      </c>
      <c r="K44" s="83"/>
      <c r="L44" s="84"/>
      <c r="M44" s="118" t="str">
        <f t="shared" si="2"/>
        <v/>
      </c>
      <c r="N44" s="85"/>
      <c r="O44" s="85"/>
      <c r="P44" s="118" t="str">
        <f t="shared" si="3"/>
        <v/>
      </c>
      <c r="Q44" s="122" t="str">
        <f t="shared" si="4"/>
        <v/>
      </c>
      <c r="R44" s="85"/>
      <c r="S44" s="85"/>
      <c r="T44" s="86"/>
      <c r="U44" s="87" t="str">
        <f t="shared" si="5"/>
        <v/>
      </c>
      <c r="V44" s="88"/>
      <c r="Y44" s="221" t="str">
        <f t="shared" si="6"/>
        <v/>
      </c>
    </row>
    <row r="45" spans="1:25" x14ac:dyDescent="0.3">
      <c r="A45" s="5">
        <v>35</v>
      </c>
      <c r="B45" s="93"/>
      <c r="C45" s="89"/>
      <c r="D45" s="90"/>
      <c r="E45" s="91"/>
      <c r="F45" s="92"/>
      <c r="G45" s="67"/>
      <c r="H45" s="93"/>
      <c r="I45" s="81" t="str">
        <f t="shared" si="0"/>
        <v/>
      </c>
      <c r="J45" s="82" t="str">
        <f t="shared" si="1"/>
        <v/>
      </c>
      <c r="K45" s="94"/>
      <c r="L45" s="95"/>
      <c r="M45" s="118" t="str">
        <f t="shared" si="2"/>
        <v/>
      </c>
      <c r="N45" s="93"/>
      <c r="O45" s="93"/>
      <c r="P45" s="118" t="str">
        <f t="shared" si="3"/>
        <v/>
      </c>
      <c r="Q45" s="122" t="str">
        <f t="shared" si="4"/>
        <v/>
      </c>
      <c r="R45" s="93"/>
      <c r="S45" s="93"/>
      <c r="T45" s="96"/>
      <c r="U45" s="87" t="str">
        <f t="shared" si="5"/>
        <v/>
      </c>
      <c r="V45" s="97"/>
      <c r="Y45" s="221" t="str">
        <f t="shared" si="6"/>
        <v/>
      </c>
    </row>
    <row r="46" spans="1:25" x14ac:dyDescent="0.3">
      <c r="A46" s="4">
        <v>36</v>
      </c>
      <c r="B46" s="85"/>
      <c r="C46" s="76"/>
      <c r="D46" s="77"/>
      <c r="E46" s="78"/>
      <c r="F46" s="79"/>
      <c r="G46" s="80"/>
      <c r="H46" s="85"/>
      <c r="I46" s="81" t="str">
        <f t="shared" si="0"/>
        <v/>
      </c>
      <c r="J46" s="82" t="str">
        <f t="shared" si="1"/>
        <v/>
      </c>
      <c r="K46" s="83"/>
      <c r="L46" s="84"/>
      <c r="M46" s="118" t="str">
        <f t="shared" si="2"/>
        <v/>
      </c>
      <c r="N46" s="85"/>
      <c r="O46" s="85"/>
      <c r="P46" s="118" t="str">
        <f t="shared" si="3"/>
        <v/>
      </c>
      <c r="Q46" s="122" t="str">
        <f t="shared" si="4"/>
        <v/>
      </c>
      <c r="R46" s="85"/>
      <c r="S46" s="85"/>
      <c r="T46" s="86"/>
      <c r="U46" s="87" t="str">
        <f t="shared" si="5"/>
        <v/>
      </c>
      <c r="V46" s="88"/>
      <c r="Y46" s="221" t="str">
        <f t="shared" si="6"/>
        <v/>
      </c>
    </row>
    <row r="47" spans="1:25" x14ac:dyDescent="0.3">
      <c r="A47" s="5">
        <v>37</v>
      </c>
      <c r="B47" s="93"/>
      <c r="C47" s="89"/>
      <c r="D47" s="90"/>
      <c r="E47" s="91"/>
      <c r="F47" s="92"/>
      <c r="G47" s="67"/>
      <c r="H47" s="93"/>
      <c r="I47" s="81" t="str">
        <f t="shared" si="0"/>
        <v/>
      </c>
      <c r="J47" s="82" t="str">
        <f t="shared" si="1"/>
        <v/>
      </c>
      <c r="K47" s="94"/>
      <c r="L47" s="95"/>
      <c r="M47" s="118" t="str">
        <f t="shared" si="2"/>
        <v/>
      </c>
      <c r="N47" s="93"/>
      <c r="O47" s="93"/>
      <c r="P47" s="118" t="str">
        <f t="shared" si="3"/>
        <v/>
      </c>
      <c r="Q47" s="122" t="str">
        <f t="shared" si="4"/>
        <v/>
      </c>
      <c r="R47" s="93"/>
      <c r="S47" s="93"/>
      <c r="T47" s="96"/>
      <c r="U47" s="87" t="str">
        <f t="shared" si="5"/>
        <v/>
      </c>
      <c r="V47" s="97"/>
      <c r="Y47" s="221" t="str">
        <f t="shared" si="6"/>
        <v/>
      </c>
    </row>
    <row r="48" spans="1:25" x14ac:dyDescent="0.3">
      <c r="A48" s="4">
        <v>38</v>
      </c>
      <c r="B48" s="85"/>
      <c r="C48" s="76"/>
      <c r="D48" s="77"/>
      <c r="E48" s="78"/>
      <c r="F48" s="79"/>
      <c r="G48" s="80"/>
      <c r="H48" s="85"/>
      <c r="I48" s="81" t="str">
        <f t="shared" si="0"/>
        <v/>
      </c>
      <c r="J48" s="82" t="str">
        <f t="shared" si="1"/>
        <v/>
      </c>
      <c r="K48" s="83"/>
      <c r="L48" s="84"/>
      <c r="M48" s="118" t="str">
        <f t="shared" si="2"/>
        <v/>
      </c>
      <c r="N48" s="85"/>
      <c r="O48" s="85"/>
      <c r="P48" s="118" t="str">
        <f t="shared" si="3"/>
        <v/>
      </c>
      <c r="Q48" s="122" t="str">
        <f t="shared" si="4"/>
        <v/>
      </c>
      <c r="R48" s="85"/>
      <c r="S48" s="85"/>
      <c r="T48" s="86"/>
      <c r="U48" s="87" t="str">
        <f t="shared" si="5"/>
        <v/>
      </c>
      <c r="V48" s="88"/>
      <c r="Y48" s="221" t="str">
        <f t="shared" si="6"/>
        <v/>
      </c>
    </row>
    <row r="49" spans="1:25" x14ac:dyDescent="0.3">
      <c r="A49" s="5">
        <v>39</v>
      </c>
      <c r="B49" s="93"/>
      <c r="C49" s="89"/>
      <c r="D49" s="90"/>
      <c r="E49" s="91"/>
      <c r="F49" s="92"/>
      <c r="G49" s="67"/>
      <c r="H49" s="93"/>
      <c r="I49" s="81" t="str">
        <f t="shared" si="0"/>
        <v/>
      </c>
      <c r="J49" s="82" t="str">
        <f t="shared" si="1"/>
        <v/>
      </c>
      <c r="K49" s="94"/>
      <c r="L49" s="95"/>
      <c r="M49" s="118" t="str">
        <f t="shared" si="2"/>
        <v/>
      </c>
      <c r="N49" s="93"/>
      <c r="O49" s="93"/>
      <c r="P49" s="118" t="str">
        <f t="shared" si="3"/>
        <v/>
      </c>
      <c r="Q49" s="122" t="str">
        <f t="shared" si="4"/>
        <v/>
      </c>
      <c r="R49" s="93"/>
      <c r="S49" s="93"/>
      <c r="T49" s="96"/>
      <c r="U49" s="87" t="str">
        <f t="shared" si="5"/>
        <v/>
      </c>
      <c r="V49" s="97"/>
      <c r="Y49" s="221" t="str">
        <f t="shared" si="6"/>
        <v/>
      </c>
    </row>
    <row r="50" spans="1:25" x14ac:dyDescent="0.3">
      <c r="A50" s="4">
        <v>40</v>
      </c>
      <c r="B50" s="85"/>
      <c r="C50" s="76"/>
      <c r="D50" s="77"/>
      <c r="E50" s="78"/>
      <c r="F50" s="79"/>
      <c r="G50" s="80"/>
      <c r="H50" s="85"/>
      <c r="I50" s="81" t="str">
        <f t="shared" si="0"/>
        <v/>
      </c>
      <c r="J50" s="82" t="str">
        <f t="shared" si="1"/>
        <v/>
      </c>
      <c r="K50" s="83"/>
      <c r="L50" s="84"/>
      <c r="M50" s="118" t="str">
        <f t="shared" si="2"/>
        <v/>
      </c>
      <c r="N50" s="85"/>
      <c r="O50" s="85"/>
      <c r="P50" s="118" t="str">
        <f t="shared" si="3"/>
        <v/>
      </c>
      <c r="Q50" s="122" t="str">
        <f t="shared" si="4"/>
        <v/>
      </c>
      <c r="R50" s="85"/>
      <c r="S50" s="85"/>
      <c r="T50" s="86"/>
      <c r="U50" s="87" t="str">
        <f t="shared" si="5"/>
        <v/>
      </c>
      <c r="V50" s="88"/>
      <c r="Y50" s="221" t="str">
        <f t="shared" si="6"/>
        <v/>
      </c>
    </row>
    <row r="51" spans="1:25" x14ac:dyDescent="0.3">
      <c r="A51" s="5">
        <v>41</v>
      </c>
      <c r="B51" s="93"/>
      <c r="C51" s="89"/>
      <c r="D51" s="90"/>
      <c r="E51" s="91"/>
      <c r="F51" s="92"/>
      <c r="G51" s="67"/>
      <c r="H51" s="93"/>
      <c r="I51" s="81" t="str">
        <f t="shared" si="0"/>
        <v/>
      </c>
      <c r="J51" s="82" t="str">
        <f t="shared" si="1"/>
        <v/>
      </c>
      <c r="K51" s="94"/>
      <c r="L51" s="95"/>
      <c r="M51" s="118" t="str">
        <f t="shared" si="2"/>
        <v/>
      </c>
      <c r="N51" s="93"/>
      <c r="O51" s="93"/>
      <c r="P51" s="118" t="str">
        <f t="shared" si="3"/>
        <v/>
      </c>
      <c r="Q51" s="122" t="str">
        <f t="shared" si="4"/>
        <v/>
      </c>
      <c r="R51" s="93"/>
      <c r="S51" s="93"/>
      <c r="T51" s="96"/>
      <c r="U51" s="87" t="str">
        <f t="shared" si="5"/>
        <v/>
      </c>
      <c r="V51" s="97"/>
      <c r="Y51" s="221" t="str">
        <f t="shared" si="6"/>
        <v/>
      </c>
    </row>
    <row r="52" spans="1:25" x14ac:dyDescent="0.3">
      <c r="A52" s="4">
        <v>42</v>
      </c>
      <c r="B52" s="85"/>
      <c r="C52" s="76"/>
      <c r="D52" s="77"/>
      <c r="E52" s="78"/>
      <c r="F52" s="79"/>
      <c r="G52" s="80"/>
      <c r="H52" s="85"/>
      <c r="I52" s="81" t="str">
        <f t="shared" si="0"/>
        <v/>
      </c>
      <c r="J52" s="82" t="str">
        <f t="shared" si="1"/>
        <v/>
      </c>
      <c r="K52" s="83"/>
      <c r="L52" s="84"/>
      <c r="M52" s="118" t="str">
        <f t="shared" si="2"/>
        <v/>
      </c>
      <c r="N52" s="85"/>
      <c r="O52" s="85"/>
      <c r="P52" s="118" t="str">
        <f t="shared" si="3"/>
        <v/>
      </c>
      <c r="Q52" s="122" t="str">
        <f t="shared" si="4"/>
        <v/>
      </c>
      <c r="R52" s="85"/>
      <c r="S52" s="85"/>
      <c r="T52" s="86"/>
      <c r="U52" s="87" t="str">
        <f t="shared" si="5"/>
        <v/>
      </c>
      <c r="V52" s="88"/>
      <c r="Y52" s="221" t="str">
        <f t="shared" si="6"/>
        <v/>
      </c>
    </row>
    <row r="53" spans="1:25" x14ac:dyDescent="0.3">
      <c r="A53" s="5">
        <v>43</v>
      </c>
      <c r="B53" s="93"/>
      <c r="C53" s="89"/>
      <c r="D53" s="90"/>
      <c r="E53" s="91"/>
      <c r="F53" s="92"/>
      <c r="G53" s="67"/>
      <c r="H53" s="93"/>
      <c r="I53" s="81" t="str">
        <f t="shared" si="0"/>
        <v/>
      </c>
      <c r="J53" s="82" t="str">
        <f t="shared" si="1"/>
        <v/>
      </c>
      <c r="K53" s="94"/>
      <c r="L53" s="95"/>
      <c r="M53" s="118" t="str">
        <f t="shared" si="2"/>
        <v/>
      </c>
      <c r="N53" s="93"/>
      <c r="O53" s="93"/>
      <c r="P53" s="118" t="str">
        <f t="shared" si="3"/>
        <v/>
      </c>
      <c r="Q53" s="122" t="str">
        <f t="shared" si="4"/>
        <v/>
      </c>
      <c r="R53" s="93"/>
      <c r="S53" s="93"/>
      <c r="T53" s="96"/>
      <c r="U53" s="87" t="str">
        <f t="shared" si="5"/>
        <v/>
      </c>
      <c r="V53" s="97"/>
      <c r="Y53" s="221" t="str">
        <f t="shared" si="6"/>
        <v/>
      </c>
    </row>
    <row r="54" spans="1:25" x14ac:dyDescent="0.3">
      <c r="A54" s="4">
        <v>44</v>
      </c>
      <c r="B54" s="85"/>
      <c r="C54" s="76"/>
      <c r="D54" s="77"/>
      <c r="E54" s="78"/>
      <c r="F54" s="79"/>
      <c r="G54" s="80"/>
      <c r="H54" s="85"/>
      <c r="I54" s="81" t="str">
        <f t="shared" si="0"/>
        <v/>
      </c>
      <c r="J54" s="82" t="str">
        <f t="shared" si="1"/>
        <v/>
      </c>
      <c r="K54" s="83"/>
      <c r="L54" s="84"/>
      <c r="M54" s="118" t="str">
        <f t="shared" si="2"/>
        <v/>
      </c>
      <c r="N54" s="85"/>
      <c r="O54" s="85"/>
      <c r="P54" s="118" t="str">
        <f t="shared" si="3"/>
        <v/>
      </c>
      <c r="Q54" s="122" t="str">
        <f t="shared" si="4"/>
        <v/>
      </c>
      <c r="R54" s="85"/>
      <c r="S54" s="85"/>
      <c r="T54" s="86"/>
      <c r="U54" s="87" t="str">
        <f t="shared" si="5"/>
        <v/>
      </c>
      <c r="V54" s="88"/>
      <c r="Y54" s="221" t="str">
        <f t="shared" si="6"/>
        <v/>
      </c>
    </row>
    <row r="55" spans="1:25" x14ac:dyDescent="0.3">
      <c r="A55" s="5">
        <v>45</v>
      </c>
      <c r="B55" s="93"/>
      <c r="C55" s="89"/>
      <c r="D55" s="90"/>
      <c r="E55" s="91"/>
      <c r="F55" s="92"/>
      <c r="G55" s="67"/>
      <c r="H55" s="93"/>
      <c r="I55" s="81" t="str">
        <f t="shared" si="0"/>
        <v/>
      </c>
      <c r="J55" s="82" t="str">
        <f t="shared" si="1"/>
        <v/>
      </c>
      <c r="K55" s="94"/>
      <c r="L55" s="95"/>
      <c r="M55" s="118" t="str">
        <f t="shared" si="2"/>
        <v/>
      </c>
      <c r="N55" s="93"/>
      <c r="O55" s="93"/>
      <c r="P55" s="118" t="str">
        <f t="shared" si="3"/>
        <v/>
      </c>
      <c r="Q55" s="122" t="str">
        <f t="shared" si="4"/>
        <v/>
      </c>
      <c r="R55" s="93"/>
      <c r="S55" s="93"/>
      <c r="T55" s="96"/>
      <c r="U55" s="87" t="str">
        <f t="shared" si="5"/>
        <v/>
      </c>
      <c r="V55" s="97"/>
      <c r="Y55" s="221" t="str">
        <f t="shared" si="6"/>
        <v/>
      </c>
    </row>
    <row r="56" spans="1:25" x14ac:dyDescent="0.3">
      <c r="A56" s="4">
        <v>46</v>
      </c>
      <c r="B56" s="85"/>
      <c r="C56" s="76"/>
      <c r="D56" s="77"/>
      <c r="E56" s="78"/>
      <c r="F56" s="79"/>
      <c r="G56" s="80"/>
      <c r="H56" s="85"/>
      <c r="I56" s="81" t="str">
        <f t="shared" si="0"/>
        <v/>
      </c>
      <c r="J56" s="82" t="str">
        <f t="shared" si="1"/>
        <v/>
      </c>
      <c r="K56" s="83"/>
      <c r="L56" s="84"/>
      <c r="M56" s="118" t="str">
        <f t="shared" si="2"/>
        <v/>
      </c>
      <c r="N56" s="85"/>
      <c r="O56" s="85"/>
      <c r="P56" s="118" t="str">
        <f t="shared" si="3"/>
        <v/>
      </c>
      <c r="Q56" s="122" t="str">
        <f t="shared" si="4"/>
        <v/>
      </c>
      <c r="R56" s="85"/>
      <c r="S56" s="85"/>
      <c r="T56" s="86"/>
      <c r="U56" s="87" t="str">
        <f t="shared" si="5"/>
        <v/>
      </c>
      <c r="V56" s="88"/>
      <c r="Y56" s="221" t="str">
        <f t="shared" si="6"/>
        <v/>
      </c>
    </row>
    <row r="57" spans="1:25" x14ac:dyDescent="0.3">
      <c r="A57" s="5">
        <v>47</v>
      </c>
      <c r="B57" s="93"/>
      <c r="C57" s="89"/>
      <c r="D57" s="90"/>
      <c r="E57" s="91"/>
      <c r="F57" s="92"/>
      <c r="G57" s="67"/>
      <c r="H57" s="93"/>
      <c r="I57" s="81" t="str">
        <f t="shared" si="0"/>
        <v/>
      </c>
      <c r="J57" s="82" t="str">
        <f t="shared" si="1"/>
        <v/>
      </c>
      <c r="K57" s="94"/>
      <c r="L57" s="95"/>
      <c r="M57" s="118" t="str">
        <f t="shared" si="2"/>
        <v/>
      </c>
      <c r="N57" s="93"/>
      <c r="O57" s="93"/>
      <c r="P57" s="118" t="str">
        <f t="shared" si="3"/>
        <v/>
      </c>
      <c r="Q57" s="122" t="str">
        <f t="shared" si="4"/>
        <v/>
      </c>
      <c r="R57" s="93"/>
      <c r="S57" s="93"/>
      <c r="T57" s="96"/>
      <c r="U57" s="87" t="str">
        <f t="shared" si="5"/>
        <v/>
      </c>
      <c r="V57" s="97"/>
      <c r="Y57" s="221" t="str">
        <f t="shared" si="6"/>
        <v/>
      </c>
    </row>
    <row r="58" spans="1:25" x14ac:dyDescent="0.3">
      <c r="A58" s="4">
        <v>48</v>
      </c>
      <c r="B58" s="85"/>
      <c r="C58" s="76"/>
      <c r="D58" s="77"/>
      <c r="E58" s="78"/>
      <c r="F58" s="79"/>
      <c r="G58" s="80"/>
      <c r="H58" s="85"/>
      <c r="I58" s="81" t="str">
        <f t="shared" si="0"/>
        <v/>
      </c>
      <c r="J58" s="82" t="str">
        <f t="shared" si="1"/>
        <v/>
      </c>
      <c r="K58" s="83"/>
      <c r="L58" s="84"/>
      <c r="M58" s="118" t="str">
        <f t="shared" si="2"/>
        <v/>
      </c>
      <c r="N58" s="85"/>
      <c r="O58" s="85"/>
      <c r="P58" s="118" t="str">
        <f t="shared" si="3"/>
        <v/>
      </c>
      <c r="Q58" s="122" t="str">
        <f t="shared" si="4"/>
        <v/>
      </c>
      <c r="R58" s="85"/>
      <c r="S58" s="85"/>
      <c r="T58" s="86"/>
      <c r="U58" s="87" t="str">
        <f t="shared" si="5"/>
        <v/>
      </c>
      <c r="V58" s="88"/>
      <c r="Y58" s="221" t="str">
        <f t="shared" si="6"/>
        <v/>
      </c>
    </row>
    <row r="59" spans="1:25" x14ac:dyDescent="0.3">
      <c r="A59" s="5">
        <v>49</v>
      </c>
      <c r="B59" s="93"/>
      <c r="C59" s="89"/>
      <c r="D59" s="90"/>
      <c r="E59" s="91"/>
      <c r="F59" s="92"/>
      <c r="G59" s="67"/>
      <c r="H59" s="93"/>
      <c r="I59" s="81" t="str">
        <f t="shared" si="0"/>
        <v/>
      </c>
      <c r="J59" s="82" t="str">
        <f t="shared" si="1"/>
        <v/>
      </c>
      <c r="K59" s="94"/>
      <c r="L59" s="95"/>
      <c r="M59" s="118" t="str">
        <f t="shared" si="2"/>
        <v/>
      </c>
      <c r="N59" s="93"/>
      <c r="O59" s="93"/>
      <c r="P59" s="118" t="str">
        <f t="shared" si="3"/>
        <v/>
      </c>
      <c r="Q59" s="122" t="str">
        <f t="shared" si="4"/>
        <v/>
      </c>
      <c r="R59" s="93"/>
      <c r="S59" s="93"/>
      <c r="T59" s="96"/>
      <c r="U59" s="87" t="str">
        <f t="shared" si="5"/>
        <v/>
      </c>
      <c r="V59" s="97"/>
      <c r="Y59" s="221" t="str">
        <f t="shared" si="6"/>
        <v/>
      </c>
    </row>
    <row r="60" spans="1:25" x14ac:dyDescent="0.3">
      <c r="A60" s="4">
        <v>50</v>
      </c>
      <c r="B60" s="85"/>
      <c r="C60" s="76"/>
      <c r="D60" s="77"/>
      <c r="E60" s="78"/>
      <c r="F60" s="79"/>
      <c r="G60" s="80"/>
      <c r="H60" s="85"/>
      <c r="I60" s="81" t="str">
        <f t="shared" si="0"/>
        <v/>
      </c>
      <c r="J60" s="82" t="str">
        <f t="shared" si="1"/>
        <v/>
      </c>
      <c r="K60" s="83"/>
      <c r="L60" s="84"/>
      <c r="M60" s="118" t="str">
        <f t="shared" si="2"/>
        <v/>
      </c>
      <c r="N60" s="85"/>
      <c r="O60" s="85"/>
      <c r="P60" s="118" t="str">
        <f t="shared" si="3"/>
        <v/>
      </c>
      <c r="Q60" s="122" t="str">
        <f t="shared" si="4"/>
        <v/>
      </c>
      <c r="R60" s="85"/>
      <c r="S60" s="85"/>
      <c r="T60" s="86"/>
      <c r="U60" s="87" t="str">
        <f t="shared" si="5"/>
        <v/>
      </c>
      <c r="V60" s="88"/>
      <c r="Y60" s="221" t="str">
        <f t="shared" si="6"/>
        <v/>
      </c>
    </row>
    <row r="61" spans="1:25" x14ac:dyDescent="0.3">
      <c r="A61" s="5">
        <v>51</v>
      </c>
      <c r="B61" s="93"/>
      <c r="C61" s="89"/>
      <c r="D61" s="90"/>
      <c r="E61" s="91"/>
      <c r="F61" s="92"/>
      <c r="G61" s="67"/>
      <c r="H61" s="93"/>
      <c r="I61" s="81" t="str">
        <f t="shared" si="0"/>
        <v/>
      </c>
      <c r="J61" s="82" t="str">
        <f t="shared" si="1"/>
        <v/>
      </c>
      <c r="K61" s="94"/>
      <c r="L61" s="95"/>
      <c r="M61" s="118" t="str">
        <f t="shared" si="2"/>
        <v/>
      </c>
      <c r="N61" s="93"/>
      <c r="O61" s="93"/>
      <c r="P61" s="118" t="str">
        <f t="shared" si="3"/>
        <v/>
      </c>
      <c r="Q61" s="122" t="str">
        <f t="shared" si="4"/>
        <v/>
      </c>
      <c r="R61" s="93"/>
      <c r="S61" s="93"/>
      <c r="T61" s="96"/>
      <c r="U61" s="87" t="str">
        <f t="shared" si="5"/>
        <v/>
      </c>
      <c r="V61" s="97"/>
      <c r="Y61" s="221" t="str">
        <f t="shared" si="6"/>
        <v/>
      </c>
    </row>
    <row r="62" spans="1:25" x14ac:dyDescent="0.3">
      <c r="A62" s="4">
        <v>52</v>
      </c>
      <c r="B62" s="85"/>
      <c r="C62" s="76"/>
      <c r="D62" s="77"/>
      <c r="E62" s="78"/>
      <c r="F62" s="79"/>
      <c r="G62" s="80"/>
      <c r="H62" s="85"/>
      <c r="I62" s="81" t="str">
        <f t="shared" si="0"/>
        <v/>
      </c>
      <c r="J62" s="82" t="str">
        <f t="shared" si="1"/>
        <v/>
      </c>
      <c r="K62" s="83"/>
      <c r="L62" s="84"/>
      <c r="M62" s="118" t="str">
        <f t="shared" si="2"/>
        <v/>
      </c>
      <c r="N62" s="85"/>
      <c r="O62" s="85"/>
      <c r="P62" s="118" t="str">
        <f t="shared" si="3"/>
        <v/>
      </c>
      <c r="Q62" s="122" t="str">
        <f t="shared" si="4"/>
        <v/>
      </c>
      <c r="R62" s="85"/>
      <c r="S62" s="85"/>
      <c r="T62" s="86"/>
      <c r="U62" s="87" t="str">
        <f t="shared" si="5"/>
        <v/>
      </c>
      <c r="V62" s="88"/>
      <c r="Y62" s="221" t="str">
        <f t="shared" si="6"/>
        <v/>
      </c>
    </row>
    <row r="63" spans="1:25" x14ac:dyDescent="0.3">
      <c r="A63" s="5">
        <v>53</v>
      </c>
      <c r="B63" s="93"/>
      <c r="C63" s="89"/>
      <c r="D63" s="90"/>
      <c r="E63" s="91"/>
      <c r="F63" s="92"/>
      <c r="G63" s="67"/>
      <c r="H63" s="93"/>
      <c r="I63" s="81" t="str">
        <f t="shared" si="0"/>
        <v/>
      </c>
      <c r="J63" s="82" t="str">
        <f t="shared" si="1"/>
        <v/>
      </c>
      <c r="K63" s="94"/>
      <c r="L63" s="95"/>
      <c r="M63" s="118" t="str">
        <f t="shared" si="2"/>
        <v/>
      </c>
      <c r="N63" s="93"/>
      <c r="O63" s="93"/>
      <c r="P63" s="118" t="str">
        <f t="shared" si="3"/>
        <v/>
      </c>
      <c r="Q63" s="122" t="str">
        <f t="shared" si="4"/>
        <v/>
      </c>
      <c r="R63" s="93"/>
      <c r="S63" s="93"/>
      <c r="T63" s="96"/>
      <c r="U63" s="87" t="str">
        <f t="shared" si="5"/>
        <v/>
      </c>
      <c r="V63" s="97"/>
      <c r="Y63" s="221" t="str">
        <f t="shared" si="6"/>
        <v/>
      </c>
    </row>
    <row r="64" spans="1:25" x14ac:dyDescent="0.3">
      <c r="A64" s="4">
        <v>54</v>
      </c>
      <c r="B64" s="85"/>
      <c r="C64" s="76"/>
      <c r="D64" s="77"/>
      <c r="E64" s="78"/>
      <c r="F64" s="79"/>
      <c r="G64" s="80"/>
      <c r="H64" s="85"/>
      <c r="I64" s="81" t="str">
        <f t="shared" si="0"/>
        <v/>
      </c>
      <c r="J64" s="82" t="str">
        <f t="shared" si="1"/>
        <v/>
      </c>
      <c r="K64" s="83"/>
      <c r="L64" s="84"/>
      <c r="M64" s="118" t="str">
        <f t="shared" si="2"/>
        <v/>
      </c>
      <c r="N64" s="85"/>
      <c r="O64" s="85"/>
      <c r="P64" s="118" t="str">
        <f t="shared" si="3"/>
        <v/>
      </c>
      <c r="Q64" s="122" t="str">
        <f t="shared" si="4"/>
        <v/>
      </c>
      <c r="R64" s="85"/>
      <c r="S64" s="85"/>
      <c r="T64" s="86"/>
      <c r="U64" s="87" t="str">
        <f t="shared" si="5"/>
        <v/>
      </c>
      <c r="V64" s="88"/>
      <c r="Y64" s="221" t="str">
        <f t="shared" si="6"/>
        <v/>
      </c>
    </row>
    <row r="65" spans="1:25" x14ac:dyDescent="0.3">
      <c r="A65" s="5">
        <v>55</v>
      </c>
      <c r="B65" s="93"/>
      <c r="C65" s="89"/>
      <c r="D65" s="90"/>
      <c r="E65" s="91"/>
      <c r="F65" s="92"/>
      <c r="G65" s="67"/>
      <c r="H65" s="93"/>
      <c r="I65" s="81" t="str">
        <f t="shared" si="0"/>
        <v/>
      </c>
      <c r="J65" s="82" t="str">
        <f t="shared" si="1"/>
        <v/>
      </c>
      <c r="K65" s="94"/>
      <c r="L65" s="95"/>
      <c r="M65" s="118" t="str">
        <f t="shared" si="2"/>
        <v/>
      </c>
      <c r="N65" s="93"/>
      <c r="O65" s="93"/>
      <c r="P65" s="118" t="str">
        <f t="shared" si="3"/>
        <v/>
      </c>
      <c r="Q65" s="122" t="str">
        <f t="shared" si="4"/>
        <v/>
      </c>
      <c r="R65" s="93"/>
      <c r="S65" s="93"/>
      <c r="T65" s="96"/>
      <c r="U65" s="87" t="str">
        <f t="shared" si="5"/>
        <v/>
      </c>
      <c r="V65" s="97"/>
      <c r="Y65" s="221" t="str">
        <f t="shared" si="6"/>
        <v/>
      </c>
    </row>
    <row r="66" spans="1:25" x14ac:dyDescent="0.3">
      <c r="A66" s="4">
        <v>56</v>
      </c>
      <c r="B66" s="85"/>
      <c r="C66" s="76"/>
      <c r="D66" s="77"/>
      <c r="E66" s="78"/>
      <c r="F66" s="79"/>
      <c r="G66" s="80"/>
      <c r="H66" s="85"/>
      <c r="I66" s="81" t="str">
        <f t="shared" si="0"/>
        <v/>
      </c>
      <c r="J66" s="82" t="str">
        <f t="shared" si="1"/>
        <v/>
      </c>
      <c r="K66" s="83"/>
      <c r="L66" s="84"/>
      <c r="M66" s="118" t="str">
        <f t="shared" si="2"/>
        <v/>
      </c>
      <c r="N66" s="85"/>
      <c r="O66" s="85"/>
      <c r="P66" s="118" t="str">
        <f t="shared" si="3"/>
        <v/>
      </c>
      <c r="Q66" s="122" t="str">
        <f t="shared" si="4"/>
        <v/>
      </c>
      <c r="R66" s="85"/>
      <c r="S66" s="85"/>
      <c r="T66" s="86"/>
      <c r="U66" s="87" t="str">
        <f t="shared" si="5"/>
        <v/>
      </c>
      <c r="V66" s="88"/>
      <c r="Y66" s="221" t="str">
        <f t="shared" si="6"/>
        <v/>
      </c>
    </row>
    <row r="67" spans="1:25" x14ac:dyDescent="0.3">
      <c r="A67" s="5">
        <v>57</v>
      </c>
      <c r="B67" s="93"/>
      <c r="C67" s="89"/>
      <c r="D67" s="90"/>
      <c r="E67" s="91"/>
      <c r="F67" s="92"/>
      <c r="G67" s="67"/>
      <c r="H67" s="93"/>
      <c r="I67" s="81" t="str">
        <f t="shared" si="0"/>
        <v/>
      </c>
      <c r="J67" s="82" t="str">
        <f t="shared" si="1"/>
        <v/>
      </c>
      <c r="K67" s="94"/>
      <c r="L67" s="95"/>
      <c r="M67" s="118" t="str">
        <f t="shared" si="2"/>
        <v/>
      </c>
      <c r="N67" s="93"/>
      <c r="O67" s="93"/>
      <c r="P67" s="118" t="str">
        <f t="shared" si="3"/>
        <v/>
      </c>
      <c r="Q67" s="122" t="str">
        <f t="shared" si="4"/>
        <v/>
      </c>
      <c r="R67" s="93"/>
      <c r="S67" s="93"/>
      <c r="T67" s="96"/>
      <c r="U67" s="87" t="str">
        <f t="shared" si="5"/>
        <v/>
      </c>
      <c r="V67" s="97"/>
      <c r="Y67" s="221" t="str">
        <f t="shared" si="6"/>
        <v/>
      </c>
    </row>
    <row r="68" spans="1:25" x14ac:dyDescent="0.3">
      <c r="A68" s="4">
        <v>58</v>
      </c>
      <c r="B68" s="85"/>
      <c r="C68" s="76"/>
      <c r="D68" s="77"/>
      <c r="E68" s="78"/>
      <c r="F68" s="79"/>
      <c r="G68" s="80"/>
      <c r="H68" s="85"/>
      <c r="I68" s="81" t="str">
        <f t="shared" si="0"/>
        <v/>
      </c>
      <c r="J68" s="82" t="str">
        <f t="shared" si="1"/>
        <v/>
      </c>
      <c r="K68" s="83"/>
      <c r="L68" s="84"/>
      <c r="M68" s="118" t="str">
        <f t="shared" si="2"/>
        <v/>
      </c>
      <c r="N68" s="85"/>
      <c r="O68" s="85"/>
      <c r="P68" s="118" t="str">
        <f t="shared" si="3"/>
        <v/>
      </c>
      <c r="Q68" s="122" t="str">
        <f t="shared" si="4"/>
        <v/>
      </c>
      <c r="R68" s="85"/>
      <c r="S68" s="85"/>
      <c r="T68" s="86"/>
      <c r="U68" s="87" t="str">
        <f t="shared" si="5"/>
        <v/>
      </c>
      <c r="V68" s="88"/>
      <c r="Y68" s="221" t="str">
        <f t="shared" si="6"/>
        <v/>
      </c>
    </row>
    <row r="69" spans="1:25" x14ac:dyDescent="0.3">
      <c r="A69" s="5">
        <v>59</v>
      </c>
      <c r="B69" s="93"/>
      <c r="C69" s="89"/>
      <c r="D69" s="90"/>
      <c r="E69" s="91"/>
      <c r="F69" s="92"/>
      <c r="G69" s="67"/>
      <c r="H69" s="93"/>
      <c r="I69" s="81" t="str">
        <f t="shared" si="0"/>
        <v/>
      </c>
      <c r="J69" s="82" t="str">
        <f t="shared" si="1"/>
        <v/>
      </c>
      <c r="K69" s="94"/>
      <c r="L69" s="95"/>
      <c r="M69" s="118" t="str">
        <f t="shared" si="2"/>
        <v/>
      </c>
      <c r="N69" s="93"/>
      <c r="O69" s="93"/>
      <c r="P69" s="118" t="str">
        <f t="shared" si="3"/>
        <v/>
      </c>
      <c r="Q69" s="122" t="str">
        <f t="shared" si="4"/>
        <v/>
      </c>
      <c r="R69" s="93"/>
      <c r="S69" s="93"/>
      <c r="T69" s="96"/>
      <c r="U69" s="87" t="str">
        <f t="shared" si="5"/>
        <v/>
      </c>
      <c r="V69" s="97"/>
      <c r="Y69" s="221" t="str">
        <f t="shared" si="6"/>
        <v/>
      </c>
    </row>
    <row r="70" spans="1:25" x14ac:dyDescent="0.3">
      <c r="A70" s="5">
        <f>A69+1</f>
        <v>60</v>
      </c>
      <c r="B70" s="93"/>
      <c r="C70" s="89"/>
      <c r="D70" s="90"/>
      <c r="E70" s="91"/>
      <c r="F70" s="92"/>
      <c r="G70" s="80"/>
      <c r="H70" s="85"/>
      <c r="I70" s="81" t="str">
        <f t="shared" si="0"/>
        <v/>
      </c>
      <c r="J70" s="82" t="str">
        <f t="shared" si="1"/>
        <v/>
      </c>
      <c r="K70" s="83"/>
      <c r="L70" s="84"/>
      <c r="M70" s="118" t="str">
        <f t="shared" si="2"/>
        <v/>
      </c>
      <c r="N70" s="85"/>
      <c r="O70" s="85"/>
      <c r="P70" s="118" t="str">
        <f t="shared" si="3"/>
        <v/>
      </c>
      <c r="Q70" s="122" t="str">
        <f t="shared" si="4"/>
        <v/>
      </c>
      <c r="R70" s="85"/>
      <c r="S70" s="85"/>
      <c r="T70" s="86"/>
      <c r="U70" s="87" t="str">
        <f t="shared" si="5"/>
        <v/>
      </c>
      <c r="V70" s="88"/>
      <c r="Y70" s="221" t="str">
        <f t="shared" si="6"/>
        <v/>
      </c>
    </row>
    <row r="71" spans="1:25" x14ac:dyDescent="0.3">
      <c r="A71" s="4">
        <f t="shared" ref="A71:A109" si="7">A70+1</f>
        <v>61</v>
      </c>
      <c r="B71" s="85"/>
      <c r="C71" s="76"/>
      <c r="D71" s="77"/>
      <c r="E71" s="78"/>
      <c r="F71" s="79"/>
      <c r="G71" s="67"/>
      <c r="H71" s="93"/>
      <c r="I71" s="81" t="str">
        <f t="shared" si="0"/>
        <v/>
      </c>
      <c r="J71" s="82" t="str">
        <f t="shared" si="1"/>
        <v/>
      </c>
      <c r="K71" s="94"/>
      <c r="L71" s="95"/>
      <c r="M71" s="118" t="str">
        <f t="shared" si="2"/>
        <v/>
      </c>
      <c r="N71" s="93"/>
      <c r="O71" s="93"/>
      <c r="P71" s="118" t="str">
        <f t="shared" si="3"/>
        <v/>
      </c>
      <c r="Q71" s="122" t="str">
        <f t="shared" si="4"/>
        <v/>
      </c>
      <c r="R71" s="93"/>
      <c r="S71" s="93"/>
      <c r="T71" s="96"/>
      <c r="U71" s="87" t="str">
        <f t="shared" si="5"/>
        <v/>
      </c>
      <c r="V71" s="97"/>
      <c r="Y71" s="221" t="str">
        <f t="shared" si="6"/>
        <v/>
      </c>
    </row>
    <row r="72" spans="1:25" x14ac:dyDescent="0.3">
      <c r="A72" s="5">
        <f t="shared" si="7"/>
        <v>62</v>
      </c>
      <c r="B72" s="93"/>
      <c r="C72" s="89"/>
      <c r="D72" s="90"/>
      <c r="E72" s="91"/>
      <c r="F72" s="92"/>
      <c r="G72" s="80"/>
      <c r="H72" s="85"/>
      <c r="I72" s="81" t="str">
        <f t="shared" si="0"/>
        <v/>
      </c>
      <c r="J72" s="82" t="str">
        <f t="shared" si="1"/>
        <v/>
      </c>
      <c r="K72" s="83"/>
      <c r="L72" s="84"/>
      <c r="M72" s="118" t="str">
        <f t="shared" si="2"/>
        <v/>
      </c>
      <c r="N72" s="85"/>
      <c r="O72" s="85"/>
      <c r="P72" s="118" t="str">
        <f t="shared" si="3"/>
        <v/>
      </c>
      <c r="Q72" s="122" t="str">
        <f t="shared" si="4"/>
        <v/>
      </c>
      <c r="R72" s="85"/>
      <c r="S72" s="85"/>
      <c r="T72" s="86"/>
      <c r="U72" s="87" t="str">
        <f t="shared" si="5"/>
        <v/>
      </c>
      <c r="V72" s="88"/>
      <c r="Y72" s="221" t="str">
        <f t="shared" si="6"/>
        <v/>
      </c>
    </row>
    <row r="73" spans="1:25" x14ac:dyDescent="0.3">
      <c r="A73" s="4">
        <f t="shared" si="7"/>
        <v>63</v>
      </c>
      <c r="B73" s="85"/>
      <c r="C73" s="76"/>
      <c r="D73" s="77"/>
      <c r="E73" s="78"/>
      <c r="F73" s="79"/>
      <c r="G73" s="67"/>
      <c r="H73" s="93"/>
      <c r="I73" s="81" t="str">
        <f t="shared" si="0"/>
        <v/>
      </c>
      <c r="J73" s="82" t="str">
        <f t="shared" si="1"/>
        <v/>
      </c>
      <c r="K73" s="94"/>
      <c r="L73" s="95"/>
      <c r="M73" s="118" t="str">
        <f t="shared" si="2"/>
        <v/>
      </c>
      <c r="N73" s="93"/>
      <c r="O73" s="93"/>
      <c r="P73" s="118" t="str">
        <f t="shared" si="3"/>
        <v/>
      </c>
      <c r="Q73" s="122" t="str">
        <f t="shared" si="4"/>
        <v/>
      </c>
      <c r="R73" s="93"/>
      <c r="S73" s="93"/>
      <c r="T73" s="96"/>
      <c r="U73" s="87" t="str">
        <f t="shared" si="5"/>
        <v/>
      </c>
      <c r="V73" s="97"/>
      <c r="Y73" s="221" t="str">
        <f t="shared" si="6"/>
        <v/>
      </c>
    </row>
    <row r="74" spans="1:25" x14ac:dyDescent="0.3">
      <c r="A74" s="5">
        <f t="shared" si="7"/>
        <v>64</v>
      </c>
      <c r="B74" s="93"/>
      <c r="C74" s="89"/>
      <c r="D74" s="90"/>
      <c r="E74" s="91"/>
      <c r="F74" s="92"/>
      <c r="G74" s="80"/>
      <c r="H74" s="85"/>
      <c r="I74" s="81" t="str">
        <f t="shared" si="0"/>
        <v/>
      </c>
      <c r="J74" s="82" t="str">
        <f t="shared" si="1"/>
        <v/>
      </c>
      <c r="K74" s="83"/>
      <c r="L74" s="84"/>
      <c r="M74" s="118" t="str">
        <f t="shared" si="2"/>
        <v/>
      </c>
      <c r="N74" s="85"/>
      <c r="O74" s="85"/>
      <c r="P74" s="118" t="str">
        <f t="shared" si="3"/>
        <v/>
      </c>
      <c r="Q74" s="122" t="str">
        <f t="shared" si="4"/>
        <v/>
      </c>
      <c r="R74" s="85"/>
      <c r="S74" s="85"/>
      <c r="T74" s="86"/>
      <c r="U74" s="87" t="str">
        <f t="shared" si="5"/>
        <v/>
      </c>
      <c r="V74" s="88"/>
      <c r="Y74" s="221" t="str">
        <f t="shared" si="6"/>
        <v/>
      </c>
    </row>
    <row r="75" spans="1:25" x14ac:dyDescent="0.3">
      <c r="A75" s="4">
        <f t="shared" si="7"/>
        <v>65</v>
      </c>
      <c r="B75" s="85"/>
      <c r="C75" s="76"/>
      <c r="D75" s="77"/>
      <c r="E75" s="78"/>
      <c r="F75" s="79"/>
      <c r="G75" s="67"/>
      <c r="H75" s="93"/>
      <c r="I75" s="81" t="str">
        <f t="shared" si="0"/>
        <v/>
      </c>
      <c r="J75" s="82" t="str">
        <f t="shared" si="1"/>
        <v/>
      </c>
      <c r="K75" s="94"/>
      <c r="L75" s="95"/>
      <c r="M75" s="118" t="str">
        <f t="shared" si="2"/>
        <v/>
      </c>
      <c r="N75" s="93"/>
      <c r="O75" s="93"/>
      <c r="P75" s="118" t="str">
        <f t="shared" si="3"/>
        <v/>
      </c>
      <c r="Q75" s="122" t="str">
        <f t="shared" si="4"/>
        <v/>
      </c>
      <c r="R75" s="93"/>
      <c r="S75" s="93"/>
      <c r="T75" s="96"/>
      <c r="U75" s="87" t="str">
        <f t="shared" si="5"/>
        <v/>
      </c>
      <c r="V75" s="97"/>
      <c r="Y75" s="221" t="str">
        <f t="shared" si="6"/>
        <v/>
      </c>
    </row>
    <row r="76" spans="1:25" x14ac:dyDescent="0.3">
      <c r="A76" s="5">
        <f t="shared" si="7"/>
        <v>66</v>
      </c>
      <c r="B76" s="93"/>
      <c r="C76" s="89"/>
      <c r="D76" s="90"/>
      <c r="E76" s="91"/>
      <c r="F76" s="92"/>
      <c r="G76" s="80"/>
      <c r="H76" s="85"/>
      <c r="I76" s="81" t="str">
        <f t="shared" ref="I76:I110" si="8">IF(AND(F76="",G76=""),"",IF(F76&lt;7,F76+G76,F76+10+H76))</f>
        <v/>
      </c>
      <c r="J76" s="82" t="str">
        <f t="shared" ref="J76:J110" si="9">IF(I76="","",IF(F76&lt;7,IF(I76&lt;=10,"Full Refresher","Moderate Refresher"),IF(I76&lt;27,"Light Refresher","Grade Ready")))</f>
        <v/>
      </c>
      <c r="K76" s="83"/>
      <c r="L76" s="84"/>
      <c r="M76" s="118" t="str">
        <f t="shared" ref="M76:M110" si="10">IF($C$9&lt;&gt;"",IF(OR(K76=1, K76=2),IF(K76=1,M$7-L76,$P$7-L76),""),"")</f>
        <v/>
      </c>
      <c r="N76" s="85"/>
      <c r="O76" s="85"/>
      <c r="P76" s="118" t="str">
        <f t="shared" ref="P76:P110" si="11">IF(AND(K76&gt;0,M76&gt;0,OR(N76&gt;0,O76&gt;0)),(M76/((N76*60)+O76))*60,"")</f>
        <v/>
      </c>
      <c r="Q76" s="122" t="str">
        <f t="shared" ref="Q76:Q110" si="12">IFERROR(IF(OR(K76=1, K76=2),IF(K76=1,M76/$M$7,M76/$P$7),""),"")</f>
        <v/>
      </c>
      <c r="R76" s="85"/>
      <c r="S76" s="85"/>
      <c r="T76" s="86"/>
      <c r="U76" s="87" t="str">
        <f t="shared" ref="U76:U110" si="13">IF(J76&lt;&gt;"",IF(J76="Full Refresher","Low Emerging Reader",IF(AND(K76&gt;0,Q76&lt;&gt;""),IF(OR(Q76&lt;=25%,AND(Q76&gt;25%,Q76&lt;=50%, R76=0)),"High Emerging Reader",IF(OR(AND(Q76&gt;25%,Q76&lt;51%, R76&gt;=1),AND(Q76&gt;50%,Q76&lt;76%,R76&lt;=2)),"Developing Reader",IF(OR(AND(Q76&gt;=51%, Q76&lt;76%,R76&gt;=3),AND(Q76&gt;75%,R76&lt;=4)),"Transitioning Reader",IF(AND(Q76&gt;75%,R76&gt;=5),"Reading At Grade Level","")))),"")),"")</f>
        <v/>
      </c>
      <c r="V76" s="88"/>
      <c r="Y76" s="221" t="str">
        <f t="shared" ref="Y76:Y110" si="14">IF(C76&lt;&gt;"",R76/6,"")</f>
        <v/>
      </c>
    </row>
    <row r="77" spans="1:25" x14ac:dyDescent="0.3">
      <c r="A77" s="4">
        <f t="shared" si="7"/>
        <v>67</v>
      </c>
      <c r="B77" s="85"/>
      <c r="C77" s="76"/>
      <c r="D77" s="77"/>
      <c r="E77" s="78"/>
      <c r="F77" s="79"/>
      <c r="G77" s="67"/>
      <c r="H77" s="93"/>
      <c r="I77" s="81" t="str">
        <f t="shared" si="8"/>
        <v/>
      </c>
      <c r="J77" s="82" t="str">
        <f t="shared" si="9"/>
        <v/>
      </c>
      <c r="K77" s="94"/>
      <c r="L77" s="95"/>
      <c r="M77" s="118" t="str">
        <f t="shared" si="10"/>
        <v/>
      </c>
      <c r="N77" s="93"/>
      <c r="O77" s="93"/>
      <c r="P77" s="118" t="str">
        <f t="shared" si="11"/>
        <v/>
      </c>
      <c r="Q77" s="122" t="str">
        <f t="shared" si="12"/>
        <v/>
      </c>
      <c r="R77" s="93"/>
      <c r="S77" s="93"/>
      <c r="T77" s="96"/>
      <c r="U77" s="87" t="str">
        <f t="shared" si="13"/>
        <v/>
      </c>
      <c r="V77" s="97"/>
      <c r="Y77" s="221" t="str">
        <f t="shared" si="14"/>
        <v/>
      </c>
    </row>
    <row r="78" spans="1:25" x14ac:dyDescent="0.3">
      <c r="A78" s="5">
        <f t="shared" si="7"/>
        <v>68</v>
      </c>
      <c r="B78" s="93"/>
      <c r="C78" s="89"/>
      <c r="D78" s="90"/>
      <c r="E78" s="91"/>
      <c r="F78" s="92"/>
      <c r="G78" s="80"/>
      <c r="H78" s="85"/>
      <c r="I78" s="81" t="str">
        <f t="shared" si="8"/>
        <v/>
      </c>
      <c r="J78" s="82" t="str">
        <f t="shared" si="9"/>
        <v/>
      </c>
      <c r="K78" s="83"/>
      <c r="L78" s="84"/>
      <c r="M78" s="118" t="str">
        <f t="shared" si="10"/>
        <v/>
      </c>
      <c r="N78" s="85"/>
      <c r="O78" s="85"/>
      <c r="P78" s="118" t="str">
        <f t="shared" si="11"/>
        <v/>
      </c>
      <c r="Q78" s="122" t="str">
        <f t="shared" si="12"/>
        <v/>
      </c>
      <c r="R78" s="85"/>
      <c r="S78" s="85"/>
      <c r="T78" s="86"/>
      <c r="U78" s="87" t="str">
        <f t="shared" si="13"/>
        <v/>
      </c>
      <c r="V78" s="88"/>
      <c r="Y78" s="221" t="str">
        <f t="shared" si="14"/>
        <v/>
      </c>
    </row>
    <row r="79" spans="1:25" x14ac:dyDescent="0.3">
      <c r="A79" s="4">
        <f t="shared" si="7"/>
        <v>69</v>
      </c>
      <c r="B79" s="85"/>
      <c r="C79" s="76"/>
      <c r="D79" s="77"/>
      <c r="E79" s="78"/>
      <c r="F79" s="79"/>
      <c r="G79" s="67"/>
      <c r="H79" s="93"/>
      <c r="I79" s="81" t="str">
        <f t="shared" si="8"/>
        <v/>
      </c>
      <c r="J79" s="82" t="str">
        <f t="shared" si="9"/>
        <v/>
      </c>
      <c r="K79" s="94"/>
      <c r="L79" s="95"/>
      <c r="M79" s="118" t="str">
        <f t="shared" si="10"/>
        <v/>
      </c>
      <c r="N79" s="93"/>
      <c r="O79" s="93"/>
      <c r="P79" s="118" t="str">
        <f t="shared" si="11"/>
        <v/>
      </c>
      <c r="Q79" s="122" t="str">
        <f t="shared" si="12"/>
        <v/>
      </c>
      <c r="R79" s="93"/>
      <c r="S79" s="93"/>
      <c r="T79" s="96"/>
      <c r="U79" s="87" t="str">
        <f t="shared" si="13"/>
        <v/>
      </c>
      <c r="V79" s="97"/>
      <c r="Y79" s="221" t="str">
        <f t="shared" si="14"/>
        <v/>
      </c>
    </row>
    <row r="80" spans="1:25" x14ac:dyDescent="0.3">
      <c r="A80" s="5">
        <f t="shared" si="7"/>
        <v>70</v>
      </c>
      <c r="B80" s="93"/>
      <c r="C80" s="89"/>
      <c r="D80" s="90"/>
      <c r="E80" s="91"/>
      <c r="F80" s="92"/>
      <c r="G80" s="80"/>
      <c r="H80" s="85"/>
      <c r="I80" s="81" t="str">
        <f t="shared" si="8"/>
        <v/>
      </c>
      <c r="J80" s="82" t="str">
        <f t="shared" si="9"/>
        <v/>
      </c>
      <c r="K80" s="83"/>
      <c r="L80" s="84"/>
      <c r="M80" s="118" t="str">
        <f t="shared" si="10"/>
        <v/>
      </c>
      <c r="N80" s="85"/>
      <c r="O80" s="85"/>
      <c r="P80" s="118" t="str">
        <f t="shared" si="11"/>
        <v/>
      </c>
      <c r="Q80" s="122" t="str">
        <f t="shared" si="12"/>
        <v/>
      </c>
      <c r="R80" s="85"/>
      <c r="S80" s="85"/>
      <c r="T80" s="86"/>
      <c r="U80" s="87" t="str">
        <f t="shared" si="13"/>
        <v/>
      </c>
      <c r="V80" s="88"/>
      <c r="Y80" s="221" t="str">
        <f t="shared" si="14"/>
        <v/>
      </c>
    </row>
    <row r="81" spans="1:25" x14ac:dyDescent="0.3">
      <c r="A81" s="4">
        <f t="shared" si="7"/>
        <v>71</v>
      </c>
      <c r="B81" s="85"/>
      <c r="C81" s="76"/>
      <c r="D81" s="77"/>
      <c r="E81" s="78"/>
      <c r="F81" s="79"/>
      <c r="G81" s="67"/>
      <c r="H81" s="93"/>
      <c r="I81" s="81" t="str">
        <f t="shared" si="8"/>
        <v/>
      </c>
      <c r="J81" s="82" t="str">
        <f t="shared" si="9"/>
        <v/>
      </c>
      <c r="K81" s="94"/>
      <c r="L81" s="95"/>
      <c r="M81" s="118" t="str">
        <f t="shared" si="10"/>
        <v/>
      </c>
      <c r="N81" s="93"/>
      <c r="O81" s="93"/>
      <c r="P81" s="118" t="str">
        <f t="shared" si="11"/>
        <v/>
      </c>
      <c r="Q81" s="122" t="str">
        <f t="shared" si="12"/>
        <v/>
      </c>
      <c r="R81" s="93"/>
      <c r="S81" s="93"/>
      <c r="T81" s="96"/>
      <c r="U81" s="87" t="str">
        <f t="shared" si="13"/>
        <v/>
      </c>
      <c r="V81" s="97"/>
      <c r="Y81" s="221" t="str">
        <f t="shared" si="14"/>
        <v/>
      </c>
    </row>
    <row r="82" spans="1:25" x14ac:dyDescent="0.3">
      <c r="A82" s="5">
        <f t="shared" si="7"/>
        <v>72</v>
      </c>
      <c r="B82" s="93"/>
      <c r="C82" s="89"/>
      <c r="D82" s="90"/>
      <c r="E82" s="91"/>
      <c r="F82" s="92"/>
      <c r="G82" s="80"/>
      <c r="H82" s="85"/>
      <c r="I82" s="81" t="str">
        <f t="shared" si="8"/>
        <v/>
      </c>
      <c r="J82" s="82" t="str">
        <f t="shared" si="9"/>
        <v/>
      </c>
      <c r="K82" s="83"/>
      <c r="L82" s="84"/>
      <c r="M82" s="118" t="str">
        <f t="shared" si="10"/>
        <v/>
      </c>
      <c r="N82" s="85"/>
      <c r="O82" s="85"/>
      <c r="P82" s="118" t="str">
        <f t="shared" si="11"/>
        <v/>
      </c>
      <c r="Q82" s="122" t="str">
        <f t="shared" si="12"/>
        <v/>
      </c>
      <c r="R82" s="85"/>
      <c r="S82" s="85"/>
      <c r="T82" s="86"/>
      <c r="U82" s="87" t="str">
        <f t="shared" si="13"/>
        <v/>
      </c>
      <c r="V82" s="88"/>
      <c r="Y82" s="221" t="str">
        <f t="shared" si="14"/>
        <v/>
      </c>
    </row>
    <row r="83" spans="1:25" x14ac:dyDescent="0.3">
      <c r="A83" s="4">
        <f t="shared" si="7"/>
        <v>73</v>
      </c>
      <c r="B83" s="85"/>
      <c r="C83" s="76"/>
      <c r="D83" s="77"/>
      <c r="E83" s="78"/>
      <c r="F83" s="79"/>
      <c r="G83" s="67"/>
      <c r="H83" s="93"/>
      <c r="I83" s="81" t="str">
        <f t="shared" si="8"/>
        <v/>
      </c>
      <c r="J83" s="82" t="str">
        <f t="shared" si="9"/>
        <v/>
      </c>
      <c r="K83" s="94"/>
      <c r="L83" s="95"/>
      <c r="M83" s="118" t="str">
        <f t="shared" si="10"/>
        <v/>
      </c>
      <c r="N83" s="93"/>
      <c r="O83" s="93"/>
      <c r="P83" s="118" t="str">
        <f t="shared" si="11"/>
        <v/>
      </c>
      <c r="Q83" s="122" t="str">
        <f t="shared" si="12"/>
        <v/>
      </c>
      <c r="R83" s="93"/>
      <c r="S83" s="93"/>
      <c r="T83" s="96"/>
      <c r="U83" s="87" t="str">
        <f t="shared" si="13"/>
        <v/>
      </c>
      <c r="V83" s="97"/>
      <c r="Y83" s="221" t="str">
        <f t="shared" si="14"/>
        <v/>
      </c>
    </row>
    <row r="84" spans="1:25" x14ac:dyDescent="0.3">
      <c r="A84" s="5">
        <f t="shared" si="7"/>
        <v>74</v>
      </c>
      <c r="B84" s="93"/>
      <c r="C84" s="89"/>
      <c r="D84" s="90"/>
      <c r="E84" s="91"/>
      <c r="F84" s="92"/>
      <c r="G84" s="80"/>
      <c r="H84" s="85"/>
      <c r="I84" s="81" t="str">
        <f t="shared" si="8"/>
        <v/>
      </c>
      <c r="J84" s="82" t="str">
        <f t="shared" si="9"/>
        <v/>
      </c>
      <c r="K84" s="83"/>
      <c r="L84" s="84"/>
      <c r="M84" s="118" t="str">
        <f t="shared" si="10"/>
        <v/>
      </c>
      <c r="N84" s="85"/>
      <c r="O84" s="85"/>
      <c r="P84" s="118" t="str">
        <f t="shared" si="11"/>
        <v/>
      </c>
      <c r="Q84" s="122" t="str">
        <f t="shared" si="12"/>
        <v/>
      </c>
      <c r="R84" s="85"/>
      <c r="S84" s="85"/>
      <c r="T84" s="86"/>
      <c r="U84" s="87" t="str">
        <f t="shared" si="13"/>
        <v/>
      </c>
      <c r="V84" s="88"/>
      <c r="Y84" s="221" t="str">
        <f t="shared" si="14"/>
        <v/>
      </c>
    </row>
    <row r="85" spans="1:25" x14ac:dyDescent="0.3">
      <c r="A85" s="4">
        <f t="shared" si="7"/>
        <v>75</v>
      </c>
      <c r="B85" s="85"/>
      <c r="C85" s="76"/>
      <c r="D85" s="77"/>
      <c r="E85" s="78"/>
      <c r="F85" s="79"/>
      <c r="G85" s="67"/>
      <c r="H85" s="93"/>
      <c r="I85" s="81" t="str">
        <f t="shared" si="8"/>
        <v/>
      </c>
      <c r="J85" s="82" t="str">
        <f t="shared" si="9"/>
        <v/>
      </c>
      <c r="K85" s="94"/>
      <c r="L85" s="95"/>
      <c r="M85" s="118" t="str">
        <f t="shared" si="10"/>
        <v/>
      </c>
      <c r="N85" s="93"/>
      <c r="O85" s="93"/>
      <c r="P85" s="118" t="str">
        <f t="shared" si="11"/>
        <v/>
      </c>
      <c r="Q85" s="122" t="str">
        <f t="shared" si="12"/>
        <v/>
      </c>
      <c r="R85" s="93"/>
      <c r="S85" s="93"/>
      <c r="T85" s="96"/>
      <c r="U85" s="87" t="str">
        <f t="shared" si="13"/>
        <v/>
      </c>
      <c r="V85" s="97"/>
      <c r="Y85" s="221" t="str">
        <f t="shared" si="14"/>
        <v/>
      </c>
    </row>
    <row r="86" spans="1:25" x14ac:dyDescent="0.3">
      <c r="A86" s="5">
        <f t="shared" si="7"/>
        <v>76</v>
      </c>
      <c r="B86" s="93"/>
      <c r="C86" s="89"/>
      <c r="D86" s="90"/>
      <c r="E86" s="91"/>
      <c r="F86" s="92"/>
      <c r="G86" s="80"/>
      <c r="H86" s="85"/>
      <c r="I86" s="81" t="str">
        <f t="shared" si="8"/>
        <v/>
      </c>
      <c r="J86" s="82" t="str">
        <f t="shared" si="9"/>
        <v/>
      </c>
      <c r="K86" s="83"/>
      <c r="L86" s="84"/>
      <c r="M86" s="118" t="str">
        <f t="shared" si="10"/>
        <v/>
      </c>
      <c r="N86" s="85"/>
      <c r="O86" s="85"/>
      <c r="P86" s="118" t="str">
        <f t="shared" si="11"/>
        <v/>
      </c>
      <c r="Q86" s="122" t="str">
        <f t="shared" si="12"/>
        <v/>
      </c>
      <c r="R86" s="85"/>
      <c r="S86" s="85"/>
      <c r="T86" s="86"/>
      <c r="U86" s="87" t="str">
        <f t="shared" si="13"/>
        <v/>
      </c>
      <c r="V86" s="88"/>
      <c r="Y86" s="221" t="str">
        <f t="shared" si="14"/>
        <v/>
      </c>
    </row>
    <row r="87" spans="1:25" x14ac:dyDescent="0.3">
      <c r="A87" s="4">
        <f t="shared" si="7"/>
        <v>77</v>
      </c>
      <c r="B87" s="85"/>
      <c r="C87" s="76"/>
      <c r="D87" s="77"/>
      <c r="E87" s="78"/>
      <c r="F87" s="79"/>
      <c r="G87" s="67"/>
      <c r="H87" s="93"/>
      <c r="I87" s="81" t="str">
        <f t="shared" si="8"/>
        <v/>
      </c>
      <c r="J87" s="82" t="str">
        <f t="shared" si="9"/>
        <v/>
      </c>
      <c r="K87" s="94"/>
      <c r="L87" s="95"/>
      <c r="M87" s="118" t="str">
        <f t="shared" si="10"/>
        <v/>
      </c>
      <c r="N87" s="93"/>
      <c r="O87" s="93"/>
      <c r="P87" s="118" t="str">
        <f t="shared" si="11"/>
        <v/>
      </c>
      <c r="Q87" s="122" t="str">
        <f t="shared" si="12"/>
        <v/>
      </c>
      <c r="R87" s="93"/>
      <c r="S87" s="93"/>
      <c r="T87" s="96"/>
      <c r="U87" s="87" t="str">
        <f t="shared" si="13"/>
        <v/>
      </c>
      <c r="V87" s="97"/>
      <c r="Y87" s="221" t="str">
        <f t="shared" si="14"/>
        <v/>
      </c>
    </row>
    <row r="88" spans="1:25" x14ac:dyDescent="0.3">
      <c r="A88" s="5">
        <f t="shared" si="7"/>
        <v>78</v>
      </c>
      <c r="B88" s="93"/>
      <c r="C88" s="89"/>
      <c r="D88" s="90"/>
      <c r="E88" s="91"/>
      <c r="F88" s="92"/>
      <c r="G88" s="80"/>
      <c r="H88" s="85"/>
      <c r="I88" s="81" t="str">
        <f t="shared" si="8"/>
        <v/>
      </c>
      <c r="J88" s="82" t="str">
        <f t="shared" si="9"/>
        <v/>
      </c>
      <c r="K88" s="83"/>
      <c r="L88" s="84"/>
      <c r="M88" s="118" t="str">
        <f t="shared" si="10"/>
        <v/>
      </c>
      <c r="N88" s="85"/>
      <c r="O88" s="85"/>
      <c r="P88" s="118" t="str">
        <f t="shared" si="11"/>
        <v/>
      </c>
      <c r="Q88" s="122" t="str">
        <f t="shared" si="12"/>
        <v/>
      </c>
      <c r="R88" s="85"/>
      <c r="S88" s="85"/>
      <c r="T88" s="86"/>
      <c r="U88" s="87" t="str">
        <f t="shared" si="13"/>
        <v/>
      </c>
      <c r="V88" s="88"/>
      <c r="Y88" s="221" t="str">
        <f t="shared" si="14"/>
        <v/>
      </c>
    </row>
    <row r="89" spans="1:25" x14ac:dyDescent="0.3">
      <c r="A89" s="4">
        <f t="shared" si="7"/>
        <v>79</v>
      </c>
      <c r="B89" s="85"/>
      <c r="C89" s="76"/>
      <c r="D89" s="77"/>
      <c r="E89" s="78"/>
      <c r="F89" s="79"/>
      <c r="G89" s="67"/>
      <c r="H89" s="93"/>
      <c r="I89" s="81" t="str">
        <f t="shared" si="8"/>
        <v/>
      </c>
      <c r="J89" s="82" t="str">
        <f t="shared" si="9"/>
        <v/>
      </c>
      <c r="K89" s="94"/>
      <c r="L89" s="95"/>
      <c r="M89" s="118" t="str">
        <f t="shared" si="10"/>
        <v/>
      </c>
      <c r="N89" s="93"/>
      <c r="O89" s="93"/>
      <c r="P89" s="118" t="str">
        <f t="shared" si="11"/>
        <v/>
      </c>
      <c r="Q89" s="122" t="str">
        <f t="shared" si="12"/>
        <v/>
      </c>
      <c r="R89" s="93"/>
      <c r="S89" s="93"/>
      <c r="T89" s="96"/>
      <c r="U89" s="87" t="str">
        <f t="shared" si="13"/>
        <v/>
      </c>
      <c r="V89" s="97"/>
      <c r="Y89" s="221" t="str">
        <f t="shared" si="14"/>
        <v/>
      </c>
    </row>
    <row r="90" spans="1:25" x14ac:dyDescent="0.3">
      <c r="A90" s="5">
        <f t="shared" si="7"/>
        <v>80</v>
      </c>
      <c r="B90" s="93"/>
      <c r="C90" s="89"/>
      <c r="D90" s="90"/>
      <c r="E90" s="91"/>
      <c r="F90" s="92"/>
      <c r="G90" s="80"/>
      <c r="H90" s="85"/>
      <c r="I90" s="81" t="str">
        <f t="shared" si="8"/>
        <v/>
      </c>
      <c r="J90" s="82" t="str">
        <f t="shared" si="9"/>
        <v/>
      </c>
      <c r="K90" s="83"/>
      <c r="L90" s="84"/>
      <c r="M90" s="118" t="str">
        <f t="shared" si="10"/>
        <v/>
      </c>
      <c r="N90" s="85"/>
      <c r="O90" s="85"/>
      <c r="P90" s="118" t="str">
        <f t="shared" si="11"/>
        <v/>
      </c>
      <c r="Q90" s="122" t="str">
        <f t="shared" si="12"/>
        <v/>
      </c>
      <c r="R90" s="85"/>
      <c r="S90" s="85"/>
      <c r="T90" s="86"/>
      <c r="U90" s="87" t="str">
        <f t="shared" si="13"/>
        <v/>
      </c>
      <c r="V90" s="88"/>
      <c r="Y90" s="221" t="str">
        <f t="shared" si="14"/>
        <v/>
      </c>
    </row>
    <row r="91" spans="1:25" x14ac:dyDescent="0.3">
      <c r="A91" s="4">
        <f t="shared" si="7"/>
        <v>81</v>
      </c>
      <c r="B91" s="85"/>
      <c r="C91" s="76"/>
      <c r="D91" s="77"/>
      <c r="E91" s="78"/>
      <c r="F91" s="79"/>
      <c r="G91" s="67"/>
      <c r="H91" s="93"/>
      <c r="I91" s="81" t="str">
        <f t="shared" si="8"/>
        <v/>
      </c>
      <c r="J91" s="82" t="str">
        <f t="shared" si="9"/>
        <v/>
      </c>
      <c r="K91" s="94"/>
      <c r="L91" s="95"/>
      <c r="M91" s="118" t="str">
        <f t="shared" si="10"/>
        <v/>
      </c>
      <c r="N91" s="93"/>
      <c r="O91" s="93"/>
      <c r="P91" s="118" t="str">
        <f t="shared" si="11"/>
        <v/>
      </c>
      <c r="Q91" s="122" t="str">
        <f t="shared" si="12"/>
        <v/>
      </c>
      <c r="R91" s="93"/>
      <c r="S91" s="93"/>
      <c r="T91" s="96"/>
      <c r="U91" s="87" t="str">
        <f t="shared" si="13"/>
        <v/>
      </c>
      <c r="V91" s="97"/>
      <c r="Y91" s="221" t="str">
        <f t="shared" si="14"/>
        <v/>
      </c>
    </row>
    <row r="92" spans="1:25" x14ac:dyDescent="0.3">
      <c r="A92" s="5">
        <f t="shared" si="7"/>
        <v>82</v>
      </c>
      <c r="B92" s="93"/>
      <c r="C92" s="89"/>
      <c r="D92" s="90"/>
      <c r="E92" s="91"/>
      <c r="F92" s="92"/>
      <c r="G92" s="80"/>
      <c r="H92" s="85"/>
      <c r="I92" s="81" t="str">
        <f t="shared" si="8"/>
        <v/>
      </c>
      <c r="J92" s="82" t="str">
        <f t="shared" si="9"/>
        <v/>
      </c>
      <c r="K92" s="83"/>
      <c r="L92" s="84"/>
      <c r="M92" s="118" t="str">
        <f t="shared" si="10"/>
        <v/>
      </c>
      <c r="N92" s="85"/>
      <c r="O92" s="85"/>
      <c r="P92" s="118" t="str">
        <f t="shared" si="11"/>
        <v/>
      </c>
      <c r="Q92" s="122" t="str">
        <f t="shared" si="12"/>
        <v/>
      </c>
      <c r="R92" s="85"/>
      <c r="S92" s="85"/>
      <c r="T92" s="86"/>
      <c r="U92" s="87" t="str">
        <f t="shared" si="13"/>
        <v/>
      </c>
      <c r="V92" s="88"/>
      <c r="Y92" s="221" t="str">
        <f t="shared" si="14"/>
        <v/>
      </c>
    </row>
    <row r="93" spans="1:25" x14ac:dyDescent="0.3">
      <c r="A93" s="4">
        <f t="shared" si="7"/>
        <v>83</v>
      </c>
      <c r="B93" s="85"/>
      <c r="C93" s="76"/>
      <c r="D93" s="77"/>
      <c r="E93" s="78"/>
      <c r="F93" s="79"/>
      <c r="G93" s="67"/>
      <c r="H93" s="93"/>
      <c r="I93" s="81" t="str">
        <f t="shared" si="8"/>
        <v/>
      </c>
      <c r="J93" s="82" t="str">
        <f t="shared" si="9"/>
        <v/>
      </c>
      <c r="K93" s="94"/>
      <c r="L93" s="95"/>
      <c r="M93" s="118" t="str">
        <f t="shared" si="10"/>
        <v/>
      </c>
      <c r="N93" s="93"/>
      <c r="O93" s="93"/>
      <c r="P93" s="118" t="str">
        <f t="shared" si="11"/>
        <v/>
      </c>
      <c r="Q93" s="122" t="str">
        <f t="shared" si="12"/>
        <v/>
      </c>
      <c r="R93" s="93"/>
      <c r="S93" s="93"/>
      <c r="T93" s="96"/>
      <c r="U93" s="87" t="str">
        <f t="shared" si="13"/>
        <v/>
      </c>
      <c r="V93" s="97"/>
      <c r="Y93" s="221" t="str">
        <f t="shared" si="14"/>
        <v/>
      </c>
    </row>
    <row r="94" spans="1:25" x14ac:dyDescent="0.3">
      <c r="A94" s="5">
        <f t="shared" si="7"/>
        <v>84</v>
      </c>
      <c r="B94" s="93"/>
      <c r="C94" s="89"/>
      <c r="D94" s="90"/>
      <c r="E94" s="91"/>
      <c r="F94" s="92"/>
      <c r="G94" s="80"/>
      <c r="H94" s="85"/>
      <c r="I94" s="81" t="str">
        <f t="shared" si="8"/>
        <v/>
      </c>
      <c r="J94" s="82" t="str">
        <f t="shared" si="9"/>
        <v/>
      </c>
      <c r="K94" s="83"/>
      <c r="L94" s="84"/>
      <c r="M94" s="118" t="str">
        <f t="shared" si="10"/>
        <v/>
      </c>
      <c r="N94" s="85"/>
      <c r="O94" s="85"/>
      <c r="P94" s="118" t="str">
        <f t="shared" si="11"/>
        <v/>
      </c>
      <c r="Q94" s="122" t="str">
        <f t="shared" si="12"/>
        <v/>
      </c>
      <c r="R94" s="85"/>
      <c r="S94" s="85"/>
      <c r="T94" s="86"/>
      <c r="U94" s="87" t="str">
        <f t="shared" si="13"/>
        <v/>
      </c>
      <c r="V94" s="88"/>
      <c r="Y94" s="221" t="str">
        <f t="shared" si="14"/>
        <v/>
      </c>
    </row>
    <row r="95" spans="1:25" x14ac:dyDescent="0.3">
      <c r="A95" s="4">
        <f t="shared" si="7"/>
        <v>85</v>
      </c>
      <c r="B95" s="85"/>
      <c r="C95" s="76"/>
      <c r="D95" s="77"/>
      <c r="E95" s="78"/>
      <c r="F95" s="79"/>
      <c r="G95" s="67"/>
      <c r="H95" s="93"/>
      <c r="I95" s="81" t="str">
        <f t="shared" si="8"/>
        <v/>
      </c>
      <c r="J95" s="82" t="str">
        <f t="shared" si="9"/>
        <v/>
      </c>
      <c r="K95" s="94"/>
      <c r="L95" s="95"/>
      <c r="M95" s="118" t="str">
        <f t="shared" si="10"/>
        <v/>
      </c>
      <c r="N95" s="93"/>
      <c r="O95" s="93"/>
      <c r="P95" s="118" t="str">
        <f t="shared" si="11"/>
        <v/>
      </c>
      <c r="Q95" s="122" t="str">
        <f t="shared" si="12"/>
        <v/>
      </c>
      <c r="R95" s="93"/>
      <c r="S95" s="93"/>
      <c r="T95" s="96"/>
      <c r="U95" s="87" t="str">
        <f t="shared" si="13"/>
        <v/>
      </c>
      <c r="V95" s="97"/>
      <c r="Y95" s="221" t="str">
        <f t="shared" si="14"/>
        <v/>
      </c>
    </row>
    <row r="96" spans="1:25" x14ac:dyDescent="0.3">
      <c r="A96" s="5">
        <f t="shared" si="7"/>
        <v>86</v>
      </c>
      <c r="B96" s="93"/>
      <c r="C96" s="89"/>
      <c r="D96" s="90"/>
      <c r="E96" s="91"/>
      <c r="F96" s="92"/>
      <c r="G96" s="80"/>
      <c r="H96" s="85"/>
      <c r="I96" s="81" t="str">
        <f t="shared" si="8"/>
        <v/>
      </c>
      <c r="J96" s="82" t="str">
        <f t="shared" si="9"/>
        <v/>
      </c>
      <c r="K96" s="83"/>
      <c r="L96" s="84"/>
      <c r="M96" s="118" t="str">
        <f t="shared" si="10"/>
        <v/>
      </c>
      <c r="N96" s="85"/>
      <c r="O96" s="85"/>
      <c r="P96" s="118" t="str">
        <f t="shared" si="11"/>
        <v/>
      </c>
      <c r="Q96" s="122" t="str">
        <f t="shared" si="12"/>
        <v/>
      </c>
      <c r="R96" s="85"/>
      <c r="S96" s="85"/>
      <c r="T96" s="86"/>
      <c r="U96" s="87" t="str">
        <f t="shared" si="13"/>
        <v/>
      </c>
      <c r="V96" s="88"/>
      <c r="Y96" s="221" t="str">
        <f t="shared" si="14"/>
        <v/>
      </c>
    </row>
    <row r="97" spans="1:25" x14ac:dyDescent="0.3">
      <c r="A97" s="4">
        <f t="shared" si="7"/>
        <v>87</v>
      </c>
      <c r="B97" s="85"/>
      <c r="C97" s="76"/>
      <c r="D97" s="77"/>
      <c r="E97" s="78"/>
      <c r="F97" s="79"/>
      <c r="G97" s="67"/>
      <c r="H97" s="93"/>
      <c r="I97" s="81" t="str">
        <f t="shared" si="8"/>
        <v/>
      </c>
      <c r="J97" s="82" t="str">
        <f t="shared" si="9"/>
        <v/>
      </c>
      <c r="K97" s="94"/>
      <c r="L97" s="95"/>
      <c r="M97" s="118" t="str">
        <f t="shared" si="10"/>
        <v/>
      </c>
      <c r="N97" s="93"/>
      <c r="O97" s="93"/>
      <c r="P97" s="118" t="str">
        <f t="shared" si="11"/>
        <v/>
      </c>
      <c r="Q97" s="122" t="str">
        <f t="shared" si="12"/>
        <v/>
      </c>
      <c r="R97" s="93"/>
      <c r="S97" s="93"/>
      <c r="T97" s="96"/>
      <c r="U97" s="87" t="str">
        <f t="shared" si="13"/>
        <v/>
      </c>
      <c r="V97" s="97"/>
      <c r="Y97" s="221" t="str">
        <f t="shared" si="14"/>
        <v/>
      </c>
    </row>
    <row r="98" spans="1:25" x14ac:dyDescent="0.3">
      <c r="A98" s="5">
        <f t="shared" si="7"/>
        <v>88</v>
      </c>
      <c r="B98" s="93"/>
      <c r="C98" s="89"/>
      <c r="D98" s="90"/>
      <c r="E98" s="91"/>
      <c r="F98" s="92"/>
      <c r="G98" s="80"/>
      <c r="H98" s="85"/>
      <c r="I98" s="81" t="str">
        <f t="shared" si="8"/>
        <v/>
      </c>
      <c r="J98" s="82" t="str">
        <f t="shared" si="9"/>
        <v/>
      </c>
      <c r="K98" s="83"/>
      <c r="L98" s="84"/>
      <c r="M98" s="118" t="str">
        <f t="shared" si="10"/>
        <v/>
      </c>
      <c r="N98" s="85"/>
      <c r="O98" s="85"/>
      <c r="P98" s="118" t="str">
        <f t="shared" si="11"/>
        <v/>
      </c>
      <c r="Q98" s="122" t="str">
        <f t="shared" si="12"/>
        <v/>
      </c>
      <c r="R98" s="85"/>
      <c r="S98" s="85"/>
      <c r="T98" s="86"/>
      <c r="U98" s="87" t="str">
        <f t="shared" si="13"/>
        <v/>
      </c>
      <c r="V98" s="88"/>
      <c r="Y98" s="221" t="str">
        <f t="shared" si="14"/>
        <v/>
      </c>
    </row>
    <row r="99" spans="1:25" x14ac:dyDescent="0.3">
      <c r="A99" s="4">
        <f t="shared" si="7"/>
        <v>89</v>
      </c>
      <c r="B99" s="85"/>
      <c r="C99" s="76"/>
      <c r="D99" s="77"/>
      <c r="E99" s="78"/>
      <c r="F99" s="79"/>
      <c r="G99" s="67"/>
      <c r="H99" s="93"/>
      <c r="I99" s="81" t="str">
        <f t="shared" si="8"/>
        <v/>
      </c>
      <c r="J99" s="82" t="str">
        <f t="shared" si="9"/>
        <v/>
      </c>
      <c r="K99" s="94"/>
      <c r="L99" s="95"/>
      <c r="M99" s="118" t="str">
        <f t="shared" si="10"/>
        <v/>
      </c>
      <c r="N99" s="93"/>
      <c r="O99" s="93"/>
      <c r="P99" s="118" t="str">
        <f t="shared" si="11"/>
        <v/>
      </c>
      <c r="Q99" s="122" t="str">
        <f t="shared" si="12"/>
        <v/>
      </c>
      <c r="R99" s="93"/>
      <c r="S99" s="93"/>
      <c r="T99" s="96"/>
      <c r="U99" s="87" t="str">
        <f t="shared" si="13"/>
        <v/>
      </c>
      <c r="V99" s="97"/>
      <c r="Y99" s="221" t="str">
        <f t="shared" si="14"/>
        <v/>
      </c>
    </row>
    <row r="100" spans="1:25" x14ac:dyDescent="0.3">
      <c r="A100" s="5">
        <f t="shared" si="7"/>
        <v>90</v>
      </c>
      <c r="B100" s="93"/>
      <c r="C100" s="89"/>
      <c r="D100" s="90"/>
      <c r="E100" s="91"/>
      <c r="F100" s="92"/>
      <c r="G100" s="80"/>
      <c r="H100" s="85"/>
      <c r="I100" s="81" t="str">
        <f t="shared" si="8"/>
        <v/>
      </c>
      <c r="J100" s="82" t="str">
        <f t="shared" si="9"/>
        <v/>
      </c>
      <c r="K100" s="83"/>
      <c r="L100" s="84"/>
      <c r="M100" s="118" t="str">
        <f t="shared" si="10"/>
        <v/>
      </c>
      <c r="N100" s="85"/>
      <c r="O100" s="85"/>
      <c r="P100" s="118" t="str">
        <f t="shared" si="11"/>
        <v/>
      </c>
      <c r="Q100" s="122" t="str">
        <f t="shared" si="12"/>
        <v/>
      </c>
      <c r="R100" s="85"/>
      <c r="S100" s="85"/>
      <c r="T100" s="86"/>
      <c r="U100" s="87" t="str">
        <f t="shared" si="13"/>
        <v/>
      </c>
      <c r="V100" s="88"/>
      <c r="Y100" s="221" t="str">
        <f t="shared" si="14"/>
        <v/>
      </c>
    </row>
    <row r="101" spans="1:25" x14ac:dyDescent="0.3">
      <c r="A101" s="4">
        <f t="shared" si="7"/>
        <v>91</v>
      </c>
      <c r="B101" s="85"/>
      <c r="C101" s="76"/>
      <c r="D101" s="77"/>
      <c r="E101" s="78"/>
      <c r="F101" s="79"/>
      <c r="G101" s="67"/>
      <c r="H101" s="93"/>
      <c r="I101" s="81" t="str">
        <f t="shared" si="8"/>
        <v/>
      </c>
      <c r="J101" s="82" t="str">
        <f t="shared" si="9"/>
        <v/>
      </c>
      <c r="K101" s="94"/>
      <c r="L101" s="95"/>
      <c r="M101" s="118" t="str">
        <f t="shared" si="10"/>
        <v/>
      </c>
      <c r="N101" s="93"/>
      <c r="O101" s="93"/>
      <c r="P101" s="118" t="str">
        <f t="shared" si="11"/>
        <v/>
      </c>
      <c r="Q101" s="122" t="str">
        <f t="shared" si="12"/>
        <v/>
      </c>
      <c r="R101" s="93"/>
      <c r="S101" s="93"/>
      <c r="T101" s="96"/>
      <c r="U101" s="87" t="str">
        <f t="shared" si="13"/>
        <v/>
      </c>
      <c r="V101" s="97"/>
      <c r="Y101" s="221" t="str">
        <f t="shared" si="14"/>
        <v/>
      </c>
    </row>
    <row r="102" spans="1:25" x14ac:dyDescent="0.3">
      <c r="A102" s="5">
        <f t="shared" si="7"/>
        <v>92</v>
      </c>
      <c r="B102" s="93"/>
      <c r="C102" s="89"/>
      <c r="D102" s="90"/>
      <c r="E102" s="91"/>
      <c r="F102" s="92"/>
      <c r="G102" s="80"/>
      <c r="H102" s="85"/>
      <c r="I102" s="81" t="str">
        <f t="shared" si="8"/>
        <v/>
      </c>
      <c r="J102" s="82" t="str">
        <f t="shared" si="9"/>
        <v/>
      </c>
      <c r="K102" s="83"/>
      <c r="L102" s="84"/>
      <c r="M102" s="118" t="str">
        <f t="shared" si="10"/>
        <v/>
      </c>
      <c r="N102" s="85"/>
      <c r="O102" s="85"/>
      <c r="P102" s="118" t="str">
        <f t="shared" si="11"/>
        <v/>
      </c>
      <c r="Q102" s="122" t="str">
        <f t="shared" si="12"/>
        <v/>
      </c>
      <c r="R102" s="85"/>
      <c r="S102" s="85"/>
      <c r="T102" s="86"/>
      <c r="U102" s="87" t="str">
        <f t="shared" si="13"/>
        <v/>
      </c>
      <c r="V102" s="88"/>
      <c r="Y102" s="221" t="str">
        <f t="shared" si="14"/>
        <v/>
      </c>
    </row>
    <row r="103" spans="1:25" x14ac:dyDescent="0.3">
      <c r="A103" s="4">
        <f t="shared" si="7"/>
        <v>93</v>
      </c>
      <c r="B103" s="85"/>
      <c r="C103" s="76"/>
      <c r="D103" s="77"/>
      <c r="E103" s="78"/>
      <c r="F103" s="79"/>
      <c r="G103" s="67"/>
      <c r="H103" s="93"/>
      <c r="I103" s="81" t="str">
        <f t="shared" si="8"/>
        <v/>
      </c>
      <c r="J103" s="82" t="str">
        <f t="shared" si="9"/>
        <v/>
      </c>
      <c r="K103" s="94"/>
      <c r="L103" s="95"/>
      <c r="M103" s="118" t="str">
        <f t="shared" si="10"/>
        <v/>
      </c>
      <c r="N103" s="93"/>
      <c r="O103" s="93"/>
      <c r="P103" s="118" t="str">
        <f t="shared" si="11"/>
        <v/>
      </c>
      <c r="Q103" s="122" t="str">
        <f t="shared" si="12"/>
        <v/>
      </c>
      <c r="R103" s="93"/>
      <c r="S103" s="93"/>
      <c r="T103" s="96"/>
      <c r="U103" s="87" t="str">
        <f t="shared" si="13"/>
        <v/>
      </c>
      <c r="V103" s="97"/>
      <c r="Y103" s="221" t="str">
        <f t="shared" si="14"/>
        <v/>
      </c>
    </row>
    <row r="104" spans="1:25" x14ac:dyDescent="0.3">
      <c r="A104" s="5">
        <f t="shared" si="7"/>
        <v>94</v>
      </c>
      <c r="B104" s="93"/>
      <c r="C104" s="89"/>
      <c r="D104" s="90"/>
      <c r="E104" s="91"/>
      <c r="F104" s="92"/>
      <c r="G104" s="80"/>
      <c r="H104" s="85"/>
      <c r="I104" s="81" t="str">
        <f t="shared" si="8"/>
        <v/>
      </c>
      <c r="J104" s="82" t="str">
        <f t="shared" si="9"/>
        <v/>
      </c>
      <c r="K104" s="83"/>
      <c r="L104" s="84"/>
      <c r="M104" s="118" t="str">
        <f t="shared" si="10"/>
        <v/>
      </c>
      <c r="N104" s="85"/>
      <c r="O104" s="85"/>
      <c r="P104" s="118" t="str">
        <f t="shared" si="11"/>
        <v/>
      </c>
      <c r="Q104" s="122" t="str">
        <f t="shared" si="12"/>
        <v/>
      </c>
      <c r="R104" s="85"/>
      <c r="S104" s="85"/>
      <c r="T104" s="86"/>
      <c r="U104" s="87" t="str">
        <f t="shared" si="13"/>
        <v/>
      </c>
      <c r="V104" s="88"/>
      <c r="Y104" s="221" t="str">
        <f t="shared" si="14"/>
        <v/>
      </c>
    </row>
    <row r="105" spans="1:25" x14ac:dyDescent="0.3">
      <c r="A105" s="4">
        <f t="shared" si="7"/>
        <v>95</v>
      </c>
      <c r="B105" s="85"/>
      <c r="C105" s="76"/>
      <c r="D105" s="77"/>
      <c r="E105" s="78"/>
      <c r="F105" s="79"/>
      <c r="G105" s="67"/>
      <c r="H105" s="93"/>
      <c r="I105" s="81" t="str">
        <f t="shared" si="8"/>
        <v/>
      </c>
      <c r="J105" s="82" t="str">
        <f t="shared" si="9"/>
        <v/>
      </c>
      <c r="K105" s="94"/>
      <c r="L105" s="95"/>
      <c r="M105" s="118" t="str">
        <f t="shared" si="10"/>
        <v/>
      </c>
      <c r="N105" s="93"/>
      <c r="O105" s="93"/>
      <c r="P105" s="118" t="str">
        <f t="shared" si="11"/>
        <v/>
      </c>
      <c r="Q105" s="122" t="str">
        <f t="shared" si="12"/>
        <v/>
      </c>
      <c r="R105" s="93"/>
      <c r="S105" s="93"/>
      <c r="T105" s="96"/>
      <c r="U105" s="87" t="str">
        <f t="shared" si="13"/>
        <v/>
      </c>
      <c r="V105" s="97"/>
      <c r="Y105" s="221" t="str">
        <f t="shared" si="14"/>
        <v/>
      </c>
    </row>
    <row r="106" spans="1:25" x14ac:dyDescent="0.3">
      <c r="A106" s="5">
        <f t="shared" si="7"/>
        <v>96</v>
      </c>
      <c r="B106" s="93"/>
      <c r="C106" s="89"/>
      <c r="D106" s="90"/>
      <c r="E106" s="91"/>
      <c r="F106" s="92"/>
      <c r="G106" s="80"/>
      <c r="H106" s="85"/>
      <c r="I106" s="81" t="str">
        <f t="shared" si="8"/>
        <v/>
      </c>
      <c r="J106" s="82" t="str">
        <f t="shared" si="9"/>
        <v/>
      </c>
      <c r="K106" s="83"/>
      <c r="L106" s="84"/>
      <c r="M106" s="118" t="str">
        <f t="shared" si="10"/>
        <v/>
      </c>
      <c r="N106" s="85"/>
      <c r="O106" s="85"/>
      <c r="P106" s="118" t="str">
        <f t="shared" si="11"/>
        <v/>
      </c>
      <c r="Q106" s="122" t="str">
        <f t="shared" si="12"/>
        <v/>
      </c>
      <c r="R106" s="85"/>
      <c r="S106" s="85"/>
      <c r="T106" s="86"/>
      <c r="U106" s="87" t="str">
        <f t="shared" si="13"/>
        <v/>
      </c>
      <c r="V106" s="88"/>
      <c r="Y106" s="221" t="str">
        <f t="shared" si="14"/>
        <v/>
      </c>
    </row>
    <row r="107" spans="1:25" x14ac:dyDescent="0.3">
      <c r="A107" s="4">
        <f t="shared" si="7"/>
        <v>97</v>
      </c>
      <c r="B107" s="85"/>
      <c r="C107" s="76"/>
      <c r="D107" s="77"/>
      <c r="E107" s="78"/>
      <c r="F107" s="79"/>
      <c r="G107" s="67"/>
      <c r="H107" s="93"/>
      <c r="I107" s="81" t="str">
        <f t="shared" si="8"/>
        <v/>
      </c>
      <c r="J107" s="82" t="str">
        <f t="shared" si="9"/>
        <v/>
      </c>
      <c r="K107" s="94"/>
      <c r="L107" s="95"/>
      <c r="M107" s="118" t="str">
        <f t="shared" si="10"/>
        <v/>
      </c>
      <c r="N107" s="93"/>
      <c r="O107" s="93"/>
      <c r="P107" s="118" t="str">
        <f t="shared" si="11"/>
        <v/>
      </c>
      <c r="Q107" s="122" t="str">
        <f t="shared" si="12"/>
        <v/>
      </c>
      <c r="R107" s="93"/>
      <c r="S107" s="93"/>
      <c r="T107" s="96"/>
      <c r="U107" s="87" t="str">
        <f t="shared" si="13"/>
        <v/>
      </c>
      <c r="V107" s="97"/>
      <c r="Y107" s="221" t="str">
        <f t="shared" si="14"/>
        <v/>
      </c>
    </row>
    <row r="108" spans="1:25" x14ac:dyDescent="0.3">
      <c r="A108" s="5">
        <f t="shared" si="7"/>
        <v>98</v>
      </c>
      <c r="B108" s="93"/>
      <c r="C108" s="89"/>
      <c r="D108" s="90"/>
      <c r="E108" s="91"/>
      <c r="F108" s="92"/>
      <c r="G108" s="80"/>
      <c r="H108" s="85"/>
      <c r="I108" s="81" t="str">
        <f t="shared" si="8"/>
        <v/>
      </c>
      <c r="J108" s="82" t="str">
        <f t="shared" si="9"/>
        <v/>
      </c>
      <c r="K108" s="83"/>
      <c r="L108" s="84"/>
      <c r="M108" s="118" t="str">
        <f t="shared" si="10"/>
        <v/>
      </c>
      <c r="N108" s="85"/>
      <c r="O108" s="85"/>
      <c r="P108" s="118" t="str">
        <f t="shared" si="11"/>
        <v/>
      </c>
      <c r="Q108" s="122" t="str">
        <f t="shared" si="12"/>
        <v/>
      </c>
      <c r="R108" s="85"/>
      <c r="S108" s="85"/>
      <c r="T108" s="86"/>
      <c r="U108" s="87" t="str">
        <f t="shared" si="13"/>
        <v/>
      </c>
      <c r="V108" s="88"/>
      <c r="Y108" s="221" t="str">
        <f t="shared" si="14"/>
        <v/>
      </c>
    </row>
    <row r="109" spans="1:25" x14ac:dyDescent="0.3">
      <c r="A109" s="4">
        <f t="shared" si="7"/>
        <v>99</v>
      </c>
      <c r="B109" s="85"/>
      <c r="C109" s="76"/>
      <c r="D109" s="77"/>
      <c r="E109" s="78"/>
      <c r="F109" s="79"/>
      <c r="G109" s="67"/>
      <c r="H109" s="93"/>
      <c r="I109" s="81" t="str">
        <f t="shared" si="8"/>
        <v/>
      </c>
      <c r="J109" s="82" t="str">
        <f t="shared" si="9"/>
        <v/>
      </c>
      <c r="K109" s="94"/>
      <c r="L109" s="95"/>
      <c r="M109" s="118" t="str">
        <f t="shared" si="10"/>
        <v/>
      </c>
      <c r="N109" s="93"/>
      <c r="O109" s="93"/>
      <c r="P109" s="118" t="str">
        <f t="shared" si="11"/>
        <v/>
      </c>
      <c r="Q109" s="122" t="str">
        <f t="shared" si="12"/>
        <v/>
      </c>
      <c r="R109" s="93"/>
      <c r="S109" s="93"/>
      <c r="T109" s="96"/>
      <c r="U109" s="87" t="str">
        <f t="shared" si="13"/>
        <v/>
      </c>
      <c r="V109" s="97"/>
      <c r="Y109" s="221" t="str">
        <f t="shared" si="14"/>
        <v/>
      </c>
    </row>
    <row r="110" spans="1:25" ht="15" thickBot="1" x14ac:dyDescent="0.35">
      <c r="A110" s="6">
        <v>100</v>
      </c>
      <c r="B110" s="192"/>
      <c r="C110" s="98"/>
      <c r="D110" s="99"/>
      <c r="E110" s="100"/>
      <c r="F110" s="101"/>
      <c r="G110" s="102"/>
      <c r="H110" s="103"/>
      <c r="I110" s="104" t="str">
        <f t="shared" si="8"/>
        <v/>
      </c>
      <c r="J110" s="105" t="str">
        <f t="shared" si="9"/>
        <v/>
      </c>
      <c r="K110" s="106"/>
      <c r="L110" s="107"/>
      <c r="M110" s="119" t="str">
        <f t="shared" si="10"/>
        <v/>
      </c>
      <c r="N110" s="103"/>
      <c r="O110" s="103"/>
      <c r="P110" s="119" t="str">
        <f t="shared" si="11"/>
        <v/>
      </c>
      <c r="Q110" s="123" t="str">
        <f t="shared" si="12"/>
        <v/>
      </c>
      <c r="R110" s="103"/>
      <c r="S110" s="103"/>
      <c r="T110" s="108"/>
      <c r="U110" s="109" t="str">
        <f t="shared" si="13"/>
        <v/>
      </c>
      <c r="V110" s="110"/>
      <c r="Y110" s="221" t="str">
        <f t="shared" si="14"/>
        <v/>
      </c>
    </row>
  </sheetData>
  <sheetProtection algorithmName="SHA-512" hashValue="onk1hNYW/NlYEMH9KQ+2uCrrYoR6hUC8jKN9q+f9wBNC+OYgdNHxR0IwmKUtyfisQyTn6PVIGACFK7WVEACRtg==" saltValue="fsm7jEwz3VWPEcmR8g0L5Q==" spinCount="100000" sheet="1" objects="1" scenarios="1" formatColumns="0" formatRows="0" selectLockedCells="1" autoFilter="0"/>
  <autoFilter ref="C10:U110" xr:uid="{B1E0C3AE-0684-48D6-8DFD-528DDA524424}">
    <filterColumn colId="11" showButton="0"/>
  </autoFilter>
  <mergeCells count="25">
    <mergeCell ref="N10:O10"/>
    <mergeCell ref="A3:B3"/>
    <mergeCell ref="Q6:T9"/>
    <mergeCell ref="G4:H4"/>
    <mergeCell ref="F7:F9"/>
    <mergeCell ref="G7:G9"/>
    <mergeCell ref="H7:H9"/>
    <mergeCell ref="I7:I9"/>
    <mergeCell ref="M8:M9"/>
    <mergeCell ref="N8:O9"/>
    <mergeCell ref="P8:P9"/>
    <mergeCell ref="N7:O7"/>
    <mergeCell ref="U6:V9"/>
    <mergeCell ref="A4:B4"/>
    <mergeCell ref="A6:B6"/>
    <mergeCell ref="A7:B7"/>
    <mergeCell ref="A8:B8"/>
    <mergeCell ref="A9:B9"/>
    <mergeCell ref="A5:B5"/>
    <mergeCell ref="D7:E7"/>
    <mergeCell ref="K8:K9"/>
    <mergeCell ref="L8:L9"/>
    <mergeCell ref="J5:J9"/>
    <mergeCell ref="F5:I6"/>
    <mergeCell ref="K5:P6"/>
  </mergeCells>
  <conditionalFormatting sqref="C5">
    <cfRule type="containsText" dxfId="36" priority="38" operator="containsText" text="[enter school school id here]">
      <formula>NOT(ISERROR(SEARCH("[enter school school id here]",C5)))</formula>
    </cfRule>
  </conditionalFormatting>
  <conditionalFormatting sqref="C6">
    <cfRule type="containsText" dxfId="35" priority="40" operator="containsText" text="[enter teacher name here]">
      <formula>NOT(ISERROR(SEARCH("[enter teacher name here]",C6)))</formula>
    </cfRule>
  </conditionalFormatting>
  <conditionalFormatting sqref="C9">
    <cfRule type="containsText" dxfId="34" priority="17" operator="containsText" text="[choose language here]">
      <formula>NOT(ISERROR(SEARCH("[choose language here]",C9)))</formula>
    </cfRule>
  </conditionalFormatting>
  <conditionalFormatting sqref="D9:E9">
    <cfRule type="expression" dxfId="33" priority="5">
      <formula>$X$9=1</formula>
    </cfRule>
  </conditionalFormatting>
  <conditionalFormatting sqref="G11:G110">
    <cfRule type="expression" dxfId="32" priority="9">
      <formula>$F11 &gt; 6</formula>
    </cfRule>
  </conditionalFormatting>
  <conditionalFormatting sqref="H11:H110">
    <cfRule type="expression" dxfId="31" priority="8">
      <formula>$F11 &lt; 7</formula>
    </cfRule>
  </conditionalFormatting>
  <conditionalFormatting sqref="I4">
    <cfRule type="cellIs" dxfId="30" priority="16" operator="notEqual">
      <formula>$F$4</formula>
    </cfRule>
    <cfRule type="cellIs" dxfId="29" priority="47" operator="lessThan">
      <formula>#REF!+#REF!</formula>
    </cfRule>
    <cfRule type="cellIs" dxfId="28" priority="48" operator="lessThan">
      <formula>#REF!+#REF!</formula>
    </cfRule>
  </conditionalFormatting>
  <conditionalFormatting sqref="J11:J110">
    <cfRule type="containsText" dxfId="27" priority="4" operator="containsText" text="Full">
      <formula>NOT(ISERROR(SEARCH("Full",J11)))</formula>
    </cfRule>
  </conditionalFormatting>
  <conditionalFormatting sqref="K11:T110">
    <cfRule type="expression" dxfId="26" priority="6">
      <formula>$J11="Full Refresher"</formula>
    </cfRule>
  </conditionalFormatting>
  <conditionalFormatting sqref="U11:U110">
    <cfRule type="containsText" dxfId="25" priority="1" operator="containsText" text="Grade Level">
      <formula>NOT(ISERROR(SEARCH("Grade Level",U11)))</formula>
    </cfRule>
    <cfRule type="containsText" dxfId="24" priority="2" operator="containsText" text="High Emerging">
      <formula>NOT(ISERROR(SEARCH("High Emerging",U11)))</formula>
    </cfRule>
    <cfRule type="containsText" dxfId="23" priority="3" operator="containsText" text="Low">
      <formula>NOT(ISERROR(SEARCH("Low",U11)))</formula>
    </cfRule>
    <cfRule type="expression" dxfId="22" priority="7">
      <formula>AND($J11="Grade Ready",#REF!="Full Intervention")</formula>
    </cfRule>
  </conditionalFormatting>
  <dataValidations count="21">
    <dataValidation type="list" allowBlank="1" showInputMessage="1" showErrorMessage="1" sqref="D11:D110" xr:uid="{D43FA963-B325-4739-A6DA-20FE83EEFFEA}">
      <formula1>"Male, Female"</formula1>
    </dataValidation>
    <dataValidation type="date" errorStyle="warning" allowBlank="1" showInputMessage="1" showErrorMessage="1" error="Enter the Date of Assessment in Correct Format (mm/dd/yy)" sqref="E11:E110" xr:uid="{4B522AE8-7D24-4086-84FD-D28204B79AF6}">
      <formula1>44197</formula1>
      <formula2>55153</formula2>
    </dataValidation>
    <dataValidation type="whole" allowBlank="1" showInputMessage="1" showErrorMessage="1" error="Enter Score between 0 to 10" sqref="F11:F110" xr:uid="{D80C148B-17C3-4F5F-8209-981D1E870A82}">
      <formula1>0</formula1>
      <formula2>10</formula2>
    </dataValidation>
    <dataValidation allowBlank="1" showInputMessage="1" showErrorMessage="1" prompt="Choose Language here" sqref="G4" xr:uid="{A105DBFF-9C87-49B4-AB08-116366447960}"/>
    <dataValidation type="whole" allowBlank="1" showInputMessage="1" showErrorMessage="1" error="Enter the 6-digit School ID" sqref="A5 C4" xr:uid="{A4DF3FCA-BA54-4679-A2E9-4C533292F950}">
      <formula1>100000</formula1>
      <formula2>999999</formula2>
    </dataValidation>
    <dataValidation type="textLength" operator="greaterThan" showInputMessage="1" showErrorMessage="1" error="Enter School Name" sqref="C5" xr:uid="{E7FDC1D6-C6DA-4C58-AFFB-9BF158DB5BA5}">
      <formula1>5</formula1>
    </dataValidation>
    <dataValidation operator="lessThanOrEqual" allowBlank="1" showInputMessage="1" showErrorMessage="1" sqref="I4" xr:uid="{1988E627-0CD2-4A57-92D9-7A971170D53B}"/>
    <dataValidation type="whole" allowBlank="1" showInputMessage="1" showErrorMessage="1" sqref="D6:E6" xr:uid="{4DE5A52A-8687-4F24-BB85-34589BBAF539}">
      <formula1>0</formula1>
      <formula2>100</formula2>
    </dataValidation>
    <dataValidation type="list" allowBlank="1" showInputMessage="1" showErrorMessage="1" error="Enter Level between 1 to 4" sqref="T11:T110" xr:uid="{4C257570-0BED-4566-ABE2-D8F53AC775DC}">
      <formula1>"Level 1, Level 2, Level 3, Level 4"</formula1>
    </dataValidation>
    <dataValidation type="whole" allowBlank="1" showInputMessage="1" showErrorMessage="1" error="Enter Leaner Experience from 1 - 5" sqref="S11:S110" xr:uid="{3A47F974-BB55-4FE2-B112-E7A60DE3DFBB}">
      <formula1>1</formula1>
      <formula2>5</formula2>
    </dataValidation>
    <dataValidation type="whole" allowBlank="1" showInputMessage="1" showErrorMessage="1" errorTitle="Error Message" error="Number of seconds between 0 to 59" sqref="O11:O110" xr:uid="{B0A077BF-B7A1-4D35-A523-EF73DD299C15}">
      <formula1>0</formula1>
      <formula2>59</formula2>
    </dataValidation>
    <dataValidation type="whole" allowBlank="1" showInputMessage="1" showErrorMessage="1" error="Story 1 or 2" sqref="K11:K110" xr:uid="{134984A4-C2D8-44C1-98BC-2988AED61F25}">
      <formula1>1</formula1>
      <formula2>2</formula2>
    </dataValidation>
    <dataValidation allowBlank="1" showInputMessage="1" showErrorMessage="1" error="Enter Level between 1 to 4" sqref="U11:V11 U12:U110" xr:uid="{53A5CABB-FD73-44F1-A9E4-D43743067ADA}"/>
    <dataValidation type="whole" allowBlank="1" showInputMessage="1" showErrorMessage="1" errorTitle="Error Message" error="Must not exceed 2 minutes" sqref="N11:N110" xr:uid="{780F73A6-734C-43B1-BE39-1CBDD0FB4022}">
      <formula1>0</formula1>
      <formula2>2</formula2>
    </dataValidation>
    <dataValidation operator="lessThanOrEqual" allowBlank="1" showInputMessage="1" showErrorMessage="1" errorTitle="Error Message" error="Total Number of Words must be less than or equal to 96" sqref="M11:M110" xr:uid="{9F868BC9-9DC4-4989-9856-03382B5EA6DB}"/>
    <dataValidation type="whole" allowBlank="1" showInputMessage="1" showErrorMessage="1" error="Enter Answer between 0 to 6" sqref="R11:R110" xr:uid="{C40558E3-4322-4919-9E64-07E0DE63333C}">
      <formula1>0</formula1>
      <formula2>6</formula2>
    </dataValidation>
    <dataValidation type="custom" allowBlank="1" showInputMessage="1" showErrorMessage="1" errorTitle="Error Message" error="Enter value less than or equal to 10_x000a_If Task 1 score is less than 7, Sentences should be left blank or empty." sqref="H11:H110" xr:uid="{984D4D04-64D8-414D-A482-1A14DF20B23E}">
      <formula1>AND( $F11 &gt; 6, $H11 &lt;11)</formula1>
    </dataValidation>
    <dataValidation type="list" allowBlank="1" showInputMessage="1" showErrorMessage="1" sqref="C3" xr:uid="{BE42E743-0818-4A44-8469-85F599B6DC45}">
      <formula1>"BoSY, MoSY, EoSY"</formula1>
    </dataValidation>
    <dataValidation type="whole" allowBlank="1" showInputMessage="1" showErrorMessage="1" error="Enter Number of Miscue" sqref="L11:L110" xr:uid="{2C89D9F3-1585-49AF-A2B7-DF268BEF0E7E}">
      <formula1>0</formula1>
      <formula2>96</formula2>
    </dataValidation>
    <dataValidation type="whole" allowBlank="1" showInputMessage="1" showErrorMessage="1" error="Total Words per Story must be between 94 to 96" sqref="D9:E9" xr:uid="{0A4D4B25-FACB-4655-AD5A-C17EA999C70C}">
      <formula1>94</formula1>
      <formula2>96</formula2>
    </dataValidation>
    <dataValidation type="custom" allowBlank="1" showInputMessage="1" showErrorMessage="1" errorTitle="Error Message" error="Enter value less than equal to10_x000a_If Task 1 score is greater than 6, Words should be left blank or empty." sqref="G11:G110" xr:uid="{5072744A-8D8F-4802-BEFE-93BF3FA1292C}">
      <formula1>AND($F11 &lt; 7, $G11 &lt;11)</formula1>
    </dataValidation>
  </dataValidations>
  <pageMargins left="0.7" right="0.7" top="0.75" bottom="0.75" header="0.3" footer="0.3"/>
  <pageSetup orientation="landscape"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prompt="Choose Language here" xr:uid="{4E65363B-3B51-4909-B08B-19FCED193081}">
          <x14:formula1>
            <xm:f>List!$C$2:$C$35</xm:f>
          </x14:formula1>
          <xm:sqref>C9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69186-D64B-48AE-9C3E-F701817A280D}">
  <sheetPr codeName="Sheet5"/>
  <dimension ref="A1:XFC115"/>
  <sheetViews>
    <sheetView zoomScale="77" workbookViewId="0">
      <pane xSplit="3" ySplit="10" topLeftCell="D11" activePane="bottomRight" state="frozen"/>
      <selection pane="topRight" activeCell="D1" sqref="D1"/>
      <selection pane="bottomLeft" activeCell="A9" sqref="A9"/>
      <selection pane="bottomRight" activeCell="C15" sqref="C15"/>
    </sheetView>
  </sheetViews>
  <sheetFormatPr defaultColWidth="10.6640625" defaultRowHeight="0" customHeight="1" zeroHeight="1" x14ac:dyDescent="0.3"/>
  <cols>
    <col min="1" max="1" width="4.6640625" customWidth="1"/>
    <col min="2" max="2" width="15.44140625" style="3" customWidth="1"/>
    <col min="3" max="3" width="27.5546875" customWidth="1"/>
    <col min="4" max="4" width="12.109375" style="1" customWidth="1"/>
    <col min="5" max="5" width="11.6640625" style="1" customWidth="1"/>
    <col min="6" max="6" width="10.33203125" style="1" customWidth="1"/>
    <col min="7" max="7" width="10.5546875" style="1" customWidth="1"/>
    <col min="8" max="8" width="9.44140625" style="1" customWidth="1"/>
    <col min="9" max="9" width="9.109375" style="1" customWidth="1"/>
    <col min="10" max="10" width="19.6640625" style="2" customWidth="1"/>
    <col min="11" max="11" width="10" style="1" customWidth="1"/>
    <col min="12" max="12" width="8.6640625" style="1" customWidth="1"/>
    <col min="13" max="13" width="9.5546875" style="1" customWidth="1"/>
    <col min="14" max="14" width="6.109375" style="1" customWidth="1"/>
    <col min="15" max="15" width="5.109375" style="1" customWidth="1"/>
    <col min="16" max="16" width="10.33203125" style="1" customWidth="1"/>
    <col min="17" max="17" width="9.5546875" style="1" customWidth="1"/>
    <col min="18" max="18" width="10.88671875" style="1" customWidth="1"/>
    <col min="19" max="19" width="11.6640625" style="1" customWidth="1"/>
    <col min="20" max="20" width="10.6640625" style="1" customWidth="1"/>
    <col min="21" max="21" width="21" style="1" customWidth="1"/>
    <col min="22" max="22" width="34" customWidth="1"/>
    <col min="23" max="23" width="8.88671875" customWidth="1"/>
    <col min="24" max="16383" width="10.6640625" hidden="1" customWidth="1"/>
  </cols>
  <sheetData>
    <row r="1" spans="1:26" ht="22.2" customHeight="1" x14ac:dyDescent="0.3">
      <c r="A1" t="s">
        <v>189</v>
      </c>
    </row>
    <row r="2" spans="1:26" ht="18" customHeight="1" thickBot="1" x14ac:dyDescent="0.35"/>
    <row r="3" spans="1:26" ht="27" customHeight="1" thickBot="1" x14ac:dyDescent="0.35">
      <c r="A3" s="310" t="s">
        <v>111</v>
      </c>
      <c r="B3" s="311"/>
      <c r="C3" s="140" t="str">
        <f>'G2 MT Reading Scoresheet'!$C$3</f>
        <v>BoSY</v>
      </c>
    </row>
    <row r="4" spans="1:26" ht="18.600000000000001" customHeight="1" thickBot="1" x14ac:dyDescent="0.35">
      <c r="A4" s="285" t="s">
        <v>4</v>
      </c>
      <c r="B4" s="286"/>
      <c r="C4" s="146">
        <f>'G2 MT Reading Scoresheet'!C4</f>
        <v>107136</v>
      </c>
      <c r="D4" s="327" t="s">
        <v>86</v>
      </c>
      <c r="E4" s="328"/>
      <c r="F4" s="124">
        <f>D6+E6</f>
        <v>24</v>
      </c>
      <c r="G4" s="316" t="s">
        <v>84</v>
      </c>
      <c r="H4" s="316"/>
      <c r="I4" s="125">
        <f>COUNTIF(F11:F110,"&lt;&gt;")</f>
        <v>100</v>
      </c>
      <c r="J4" s="61"/>
      <c r="K4" s="112"/>
      <c r="L4" s="112"/>
      <c r="M4" s="112"/>
      <c r="N4" s="112"/>
      <c r="O4" s="112"/>
      <c r="P4" s="112"/>
      <c r="Q4" s="112"/>
      <c r="R4" s="112"/>
      <c r="S4" s="112"/>
      <c r="T4" s="112"/>
      <c r="U4" s="112"/>
      <c r="V4" s="113"/>
    </row>
    <row r="5" spans="1:26" ht="18" customHeight="1" x14ac:dyDescent="0.3">
      <c r="A5" s="291" t="s">
        <v>71</v>
      </c>
      <c r="B5" s="332"/>
      <c r="C5" s="147" t="str">
        <f>'G2 MT Reading Scoresheet'!C5</f>
        <v>NELLIE E. BROWN E/S</v>
      </c>
      <c r="D5" s="142" t="s">
        <v>81</v>
      </c>
      <c r="E5" s="139" t="s">
        <v>82</v>
      </c>
      <c r="F5" s="333" t="s">
        <v>113</v>
      </c>
      <c r="G5" s="334"/>
      <c r="H5" s="334"/>
      <c r="I5" s="334"/>
      <c r="J5" s="299" t="s">
        <v>178</v>
      </c>
      <c r="K5" s="305" t="s">
        <v>133</v>
      </c>
      <c r="L5" s="306"/>
      <c r="M5" s="306"/>
      <c r="N5" s="306"/>
      <c r="O5" s="306"/>
      <c r="P5" s="306"/>
      <c r="Q5" s="114"/>
      <c r="R5" s="114"/>
      <c r="S5" s="114"/>
      <c r="T5" s="114"/>
      <c r="U5" s="114"/>
      <c r="V5" s="115"/>
    </row>
    <row r="6" spans="1:26" ht="19.95" customHeight="1" x14ac:dyDescent="0.3">
      <c r="A6" s="287" t="s">
        <v>1</v>
      </c>
      <c r="B6" s="288"/>
      <c r="C6" s="147">
        <f>'G2 MT Reading Scoresheet'!C6</f>
        <v>0</v>
      </c>
      <c r="D6" s="143">
        <f>'G2 MT Reading Scoresheet'!D6</f>
        <v>13</v>
      </c>
      <c r="E6" s="128">
        <f>'G2 MT Reading Scoresheet'!E6</f>
        <v>11</v>
      </c>
      <c r="F6" s="335"/>
      <c r="G6" s="336"/>
      <c r="H6" s="336"/>
      <c r="I6" s="336"/>
      <c r="J6" s="300"/>
      <c r="K6" s="307"/>
      <c r="L6" s="308"/>
      <c r="M6" s="308"/>
      <c r="N6" s="308"/>
      <c r="O6" s="308"/>
      <c r="P6" s="308"/>
      <c r="Q6" s="312"/>
      <c r="R6" s="313"/>
      <c r="S6" s="313"/>
      <c r="T6" s="314"/>
      <c r="U6" s="283"/>
      <c r="V6" s="284"/>
    </row>
    <row r="7" spans="1:26" ht="29.4" customHeight="1" x14ac:dyDescent="0.3">
      <c r="A7" s="287" t="s">
        <v>2</v>
      </c>
      <c r="B7" s="288"/>
      <c r="C7" s="147" t="str">
        <f>'G2 MT Reading Scoresheet'!C7</f>
        <v>Grade 2</v>
      </c>
      <c r="D7" s="329" t="s">
        <v>116</v>
      </c>
      <c r="E7" s="330"/>
      <c r="F7" s="295" t="s">
        <v>12</v>
      </c>
      <c r="G7" s="297" t="s">
        <v>87</v>
      </c>
      <c r="H7" s="297" t="s">
        <v>175</v>
      </c>
      <c r="I7" s="297" t="s">
        <v>176</v>
      </c>
      <c r="J7" s="300"/>
      <c r="K7" s="126" t="s">
        <v>132</v>
      </c>
      <c r="L7" s="127" t="s">
        <v>114</v>
      </c>
      <c r="M7" s="117">
        <f>_xlfn.IFNA(IF(X9=1,Y9,D9),"")</f>
        <v>96</v>
      </c>
      <c r="N7" s="326" t="s">
        <v>115</v>
      </c>
      <c r="O7" s="326"/>
      <c r="P7" s="117">
        <f>_xlfn.IFNA(IF(X9=1,Z9,E9),"")</f>
        <v>95</v>
      </c>
      <c r="Q7" s="315"/>
      <c r="R7" s="283"/>
      <c r="S7" s="283"/>
      <c r="T7" s="284"/>
      <c r="U7" s="283"/>
      <c r="V7" s="284"/>
    </row>
    <row r="8" spans="1:26" ht="17.399999999999999" customHeight="1" x14ac:dyDescent="0.3">
      <c r="A8" s="287" t="s">
        <v>20</v>
      </c>
      <c r="B8" s="288"/>
      <c r="C8" s="147" t="str">
        <f>'G2 MT Reading Scoresheet'!C8</f>
        <v>WISDOM</v>
      </c>
      <c r="D8" s="144" t="s">
        <v>114</v>
      </c>
      <c r="E8" s="141" t="s">
        <v>115</v>
      </c>
      <c r="F8" s="331"/>
      <c r="G8" s="319"/>
      <c r="H8" s="319"/>
      <c r="I8" s="319"/>
      <c r="J8" s="300"/>
      <c r="K8" s="295" t="s">
        <v>91</v>
      </c>
      <c r="L8" s="297" t="s">
        <v>131</v>
      </c>
      <c r="M8" s="297" t="s">
        <v>107</v>
      </c>
      <c r="N8" s="320" t="s">
        <v>105</v>
      </c>
      <c r="O8" s="321"/>
      <c r="P8" s="324" t="s">
        <v>95</v>
      </c>
      <c r="Q8" s="315"/>
      <c r="R8" s="283"/>
      <c r="S8" s="283"/>
      <c r="T8" s="284"/>
      <c r="U8" s="283"/>
      <c r="V8" s="284"/>
    </row>
    <row r="9" spans="1:26" ht="20.399999999999999" customHeight="1" thickBot="1" x14ac:dyDescent="0.35">
      <c r="A9" s="289" t="s">
        <v>5</v>
      </c>
      <c r="B9" s="290"/>
      <c r="C9" s="148" t="s">
        <v>109</v>
      </c>
      <c r="D9" s="145"/>
      <c r="E9" s="129"/>
      <c r="F9" s="296"/>
      <c r="G9" s="298"/>
      <c r="H9" s="298"/>
      <c r="I9" s="298"/>
      <c r="J9" s="300"/>
      <c r="K9" s="296"/>
      <c r="L9" s="298"/>
      <c r="M9" s="298"/>
      <c r="N9" s="322"/>
      <c r="O9" s="323"/>
      <c r="P9" s="325"/>
      <c r="Q9" s="315"/>
      <c r="R9" s="283"/>
      <c r="S9" s="283"/>
      <c r="T9" s="284"/>
      <c r="U9" s="283"/>
      <c r="V9" s="284"/>
      <c r="X9" s="111">
        <f>IF(_xlfn.IFNA(VLOOKUP($C$9,List!$G$2:$M$20,1,0),"")=C9,1,0)</f>
        <v>1</v>
      </c>
      <c r="Y9" s="111">
        <f>VLOOKUP($C$9,List!$G$2:$M$20,4,0)</f>
        <v>96</v>
      </c>
      <c r="Z9" s="111">
        <f>VLOOKUP($C$9,List!$G$2:$M$20,7,0)</f>
        <v>95</v>
      </c>
    </row>
    <row r="10" spans="1:26" ht="35.4" customHeight="1" thickBot="1" x14ac:dyDescent="0.35">
      <c r="A10" s="22" t="s">
        <v>9</v>
      </c>
      <c r="B10" s="23" t="s">
        <v>34</v>
      </c>
      <c r="C10" s="18" t="s">
        <v>10</v>
      </c>
      <c r="D10" s="24" t="s">
        <v>31</v>
      </c>
      <c r="E10" s="25" t="s">
        <v>11</v>
      </c>
      <c r="F10" s="130" t="s">
        <v>6</v>
      </c>
      <c r="G10" s="26" t="s">
        <v>148</v>
      </c>
      <c r="H10" s="26" t="s">
        <v>106</v>
      </c>
      <c r="I10" s="26" t="s">
        <v>7</v>
      </c>
      <c r="J10" s="19" t="s">
        <v>92</v>
      </c>
      <c r="K10" s="27" t="s">
        <v>88</v>
      </c>
      <c r="L10" s="116" t="s">
        <v>134</v>
      </c>
      <c r="M10" s="42" t="s">
        <v>89</v>
      </c>
      <c r="N10" s="309" t="s">
        <v>93</v>
      </c>
      <c r="O10" s="309"/>
      <c r="P10" s="42" t="s">
        <v>94</v>
      </c>
      <c r="Q10" s="28" t="s">
        <v>135</v>
      </c>
      <c r="R10" s="42" t="s">
        <v>90</v>
      </c>
      <c r="S10" s="28" t="s">
        <v>147</v>
      </c>
      <c r="T10" s="29" t="s">
        <v>136</v>
      </c>
      <c r="U10" s="59" t="s">
        <v>103</v>
      </c>
      <c r="V10" s="17" t="s">
        <v>8</v>
      </c>
    </row>
    <row r="11" spans="1:26" ht="14.4" x14ac:dyDescent="0.3">
      <c r="A11" s="12">
        <v>1</v>
      </c>
      <c r="B11" s="120">
        <f>IF('G2 MT Reading Scoresheet'!B11&lt;&gt;"",'G2 MT Reading Scoresheet'!B11,"")</f>
        <v>123456789012</v>
      </c>
      <c r="C11" s="131" t="str">
        <f>IF('G2 MT Reading Scoresheet'!C11&lt;&gt;"",'G2 MT Reading Scoresheet'!C11,"")</f>
        <v>Johnny Lee</v>
      </c>
      <c r="D11" s="120" t="str">
        <f>IF('G2 MT Reading Scoresheet'!D11&lt;&gt;"",'G2 MT Reading Scoresheet'!D11,"")</f>
        <v>Male</v>
      </c>
      <c r="E11" s="132">
        <f>IF('G2 MT Reading Scoresheet'!E11&lt;&gt;"",'G2 MT Reading Scoresheet'!E11,"")</f>
        <v>45833</v>
      </c>
      <c r="F11" s="261">
        <f>IF('G2 MT Reading Scoresheet'!F11&lt;&gt;"",'G2 MT Reading Scoresheet'!F11,"")</f>
        <v>9</v>
      </c>
      <c r="G11" s="262" t="str">
        <f>IF('G2 MT Reading Scoresheet'!G11&lt;&gt;"",'G2 MT Reading Scoresheet'!G11,"")</f>
        <v/>
      </c>
      <c r="H11" s="262">
        <f>IF('G2 MT Reading Scoresheet'!H11&lt;&gt;"",'G2 MT Reading Scoresheet'!H11,"")</f>
        <v>10</v>
      </c>
      <c r="I11" s="68">
        <f>IF('G2 MT Reading Scoresheet'!I11&lt;&gt;"",'G2 MT Reading Scoresheet'!I11,"")</f>
        <v>29</v>
      </c>
      <c r="J11" s="69" t="str">
        <f>IF('G2 MT Reading Scoresheet'!J11&lt;&gt;"",'G2 MT Reading Scoresheet'!J11,"")</f>
        <v>Grade Ready</v>
      </c>
      <c r="K11" s="263">
        <f>IF('G2 MT Reading Scoresheet'!K11&lt;&gt;"",'G2 MT Reading Scoresheet'!K11,"")</f>
        <v>2</v>
      </c>
      <c r="L11" s="264">
        <f>IF('G2 MT Reading Scoresheet'!L11&lt;&gt;"",'G2 MT Reading Scoresheet'!L11,"")</f>
        <v>3</v>
      </c>
      <c r="M11" s="120">
        <f>IF('G2 MT Reading Scoresheet'!M11&lt;&gt;"",'G2 MT Reading Scoresheet'!M11,"")</f>
        <v>92</v>
      </c>
      <c r="N11" s="265">
        <f>IF('G2 MT Reading Scoresheet'!N11&lt;&gt;"",'G2 MT Reading Scoresheet'!N11,"")</f>
        <v>2</v>
      </c>
      <c r="O11" s="265">
        <f>IF('G2 MT Reading Scoresheet'!O11&lt;&gt;"",'G2 MT Reading Scoresheet'!O11,"")</f>
        <v>0</v>
      </c>
      <c r="P11" s="120">
        <f>IF('G2 MT Reading Scoresheet'!P11&lt;&gt;"",'G2 MT Reading Scoresheet'!P11,"")</f>
        <v>46</v>
      </c>
      <c r="Q11" s="121">
        <f>IF('G2 MT Reading Scoresheet'!Q11&lt;&gt;"",'G2 MT Reading Scoresheet'!Q11,"")</f>
        <v>0.96842105263157896</v>
      </c>
      <c r="R11" s="265">
        <f>IF('G2 MT Reading Scoresheet'!R11&lt;&gt;"",'G2 MT Reading Scoresheet'!R11,"")</f>
        <v>4</v>
      </c>
      <c r="S11" s="265">
        <f>IF('G2 MT Reading Scoresheet'!S11&lt;&gt;"",'G2 MT Reading Scoresheet'!S11,"")</f>
        <v>4</v>
      </c>
      <c r="T11" s="266" t="str">
        <f>IF('G2 MT Reading Scoresheet'!T11&lt;&gt;"",'G2 MT Reading Scoresheet'!T11,"")</f>
        <v>Level 3</v>
      </c>
      <c r="U11" s="74" t="str">
        <f>IF('G2 MT Reading Scoresheet'!U11&lt;&gt;"",'G2 MT Reading Scoresheet'!U11,"")</f>
        <v>Transitioning Reader</v>
      </c>
      <c r="V11" s="267"/>
      <c r="Y11" s="221">
        <f>IF(C11&lt;&gt;"",R11/6,"")</f>
        <v>0.66666666666666663</v>
      </c>
    </row>
    <row r="12" spans="1:26" ht="14.4" x14ac:dyDescent="0.3">
      <c r="A12" s="4">
        <v>2</v>
      </c>
      <c r="B12" s="118">
        <f>IF('G2 MT Reading Scoresheet'!B12&lt;&gt;"",'G2 MT Reading Scoresheet'!B12,"")</f>
        <v>123456789013</v>
      </c>
      <c r="C12" s="133" t="str">
        <f>IF('G2 MT Reading Scoresheet'!C12&lt;&gt;"",'G2 MT Reading Scoresheet'!C12,"")</f>
        <v>Nicolas Santos</v>
      </c>
      <c r="D12" s="134" t="str">
        <f>IF('G2 MT Reading Scoresheet'!D12&lt;&gt;"",'G2 MT Reading Scoresheet'!D12,"")</f>
        <v>Male</v>
      </c>
      <c r="E12" s="135">
        <f>IF('G2 MT Reading Scoresheet'!E12&lt;&gt;"",'G2 MT Reading Scoresheet'!E12,"")</f>
        <v>45833</v>
      </c>
      <c r="F12" s="268">
        <f>IF('G2 MT Reading Scoresheet'!F12&lt;&gt;"",'G2 MT Reading Scoresheet'!F12,"")</f>
        <v>10</v>
      </c>
      <c r="G12" s="269" t="str">
        <f>IF('G2 MT Reading Scoresheet'!G12&lt;&gt;"",'G2 MT Reading Scoresheet'!G12,"")</f>
        <v/>
      </c>
      <c r="H12" s="269">
        <f>IF('G2 MT Reading Scoresheet'!H12&lt;&gt;"",'G2 MT Reading Scoresheet'!H12,"")</f>
        <v>10</v>
      </c>
      <c r="I12" s="81">
        <f>IF('G2 MT Reading Scoresheet'!I12&lt;&gt;"",'G2 MT Reading Scoresheet'!I12,"")</f>
        <v>30</v>
      </c>
      <c r="J12" s="82" t="str">
        <f>IF('G2 MT Reading Scoresheet'!J12&lt;&gt;"",'G2 MT Reading Scoresheet'!J12,"")</f>
        <v>Grade Ready</v>
      </c>
      <c r="K12" s="270">
        <f>IF('G2 MT Reading Scoresheet'!K12&lt;&gt;"",'G2 MT Reading Scoresheet'!K12,"")</f>
        <v>2</v>
      </c>
      <c r="L12" s="87">
        <f>IF('G2 MT Reading Scoresheet'!L12&lt;&gt;"",'G2 MT Reading Scoresheet'!L12,"")</f>
        <v>0</v>
      </c>
      <c r="M12" s="118">
        <f>IF('G2 MT Reading Scoresheet'!M12&lt;&gt;"",'G2 MT Reading Scoresheet'!M12,"")</f>
        <v>95</v>
      </c>
      <c r="N12" s="81">
        <f>IF('G2 MT Reading Scoresheet'!N12&lt;&gt;"",'G2 MT Reading Scoresheet'!N12,"")</f>
        <v>2</v>
      </c>
      <c r="O12" s="81">
        <f>IF('G2 MT Reading Scoresheet'!O12&lt;&gt;"",'G2 MT Reading Scoresheet'!O12,"")</f>
        <v>0</v>
      </c>
      <c r="P12" s="118">
        <f>IF('G2 MT Reading Scoresheet'!P12&lt;&gt;"",'G2 MT Reading Scoresheet'!P12,"")</f>
        <v>47.5</v>
      </c>
      <c r="Q12" s="122">
        <f>IF('G2 MT Reading Scoresheet'!Q12&lt;&gt;"",'G2 MT Reading Scoresheet'!Q12,"")</f>
        <v>1</v>
      </c>
      <c r="R12" s="81">
        <f>IF('G2 MT Reading Scoresheet'!R12&lt;&gt;"",'G2 MT Reading Scoresheet'!R12,"")</f>
        <v>4</v>
      </c>
      <c r="S12" s="81">
        <f>IF('G2 MT Reading Scoresheet'!S12&lt;&gt;"",'G2 MT Reading Scoresheet'!S12,"")</f>
        <v>4</v>
      </c>
      <c r="T12" s="82" t="str">
        <f>IF('G2 MT Reading Scoresheet'!T12&lt;&gt;"",'G2 MT Reading Scoresheet'!T12,"")</f>
        <v>Level 3</v>
      </c>
      <c r="U12" s="87" t="str">
        <f>IF('G2 MT Reading Scoresheet'!U12&lt;&gt;"",'G2 MT Reading Scoresheet'!U12,"")</f>
        <v>Transitioning Reader</v>
      </c>
      <c r="V12" s="271"/>
      <c r="Y12" s="221">
        <f t="shared" ref="Y12:Y75" si="0">IF(C12&lt;&gt;"",R12/6,"")</f>
        <v>0.66666666666666663</v>
      </c>
    </row>
    <row r="13" spans="1:26" ht="14.4" x14ac:dyDescent="0.3">
      <c r="A13" s="5">
        <v>3</v>
      </c>
      <c r="B13" s="118">
        <f>IF('G2 MT Reading Scoresheet'!B13&lt;&gt;"",'G2 MT Reading Scoresheet'!B13,"")</f>
        <v>123456789014</v>
      </c>
      <c r="C13" s="133" t="str">
        <f>IF('G2 MT Reading Scoresheet'!C13&lt;&gt;"",'G2 MT Reading Scoresheet'!C13,"")</f>
        <v>Luffy De Guzman</v>
      </c>
      <c r="D13" s="134" t="str">
        <f>IF('G2 MT Reading Scoresheet'!D13&lt;&gt;"",'G2 MT Reading Scoresheet'!D13,"")</f>
        <v>Male</v>
      </c>
      <c r="E13" s="135">
        <f>IF('G2 MT Reading Scoresheet'!E13&lt;&gt;"",'G2 MT Reading Scoresheet'!E13,"")</f>
        <v>45835</v>
      </c>
      <c r="F13" s="272">
        <f>IF('G2 MT Reading Scoresheet'!F13&lt;&gt;"",'G2 MT Reading Scoresheet'!F13,"")</f>
        <v>0</v>
      </c>
      <c r="G13" s="262">
        <f>IF('G2 MT Reading Scoresheet'!G13&lt;&gt;"",'G2 MT Reading Scoresheet'!G13,"")</f>
        <v>0</v>
      </c>
      <c r="H13" s="273" t="str">
        <f>IF('G2 MT Reading Scoresheet'!H13&lt;&gt;"",'G2 MT Reading Scoresheet'!H13,"")</f>
        <v/>
      </c>
      <c r="I13" s="81">
        <f>IF('G2 MT Reading Scoresheet'!I13&lt;&gt;"",'G2 MT Reading Scoresheet'!I13,"")</f>
        <v>0</v>
      </c>
      <c r="J13" s="82" t="str">
        <f>IF('G2 MT Reading Scoresheet'!J13&lt;&gt;"",'G2 MT Reading Scoresheet'!J13,"")</f>
        <v>Full Refresher</v>
      </c>
      <c r="K13" s="274" t="str">
        <f>IF('G2 MT Reading Scoresheet'!K13&lt;&gt;"",'G2 MT Reading Scoresheet'!K13,"")</f>
        <v/>
      </c>
      <c r="L13" s="275" t="str">
        <f>IF('G2 MT Reading Scoresheet'!L13&lt;&gt;"",'G2 MT Reading Scoresheet'!L13,"")</f>
        <v/>
      </c>
      <c r="M13" s="118" t="str">
        <f>IF('G2 MT Reading Scoresheet'!M13&lt;&gt;"",'G2 MT Reading Scoresheet'!M13,"")</f>
        <v/>
      </c>
      <c r="N13" s="273" t="str">
        <f>IF('G2 MT Reading Scoresheet'!N13&lt;&gt;"",'G2 MT Reading Scoresheet'!N13,"")</f>
        <v/>
      </c>
      <c r="O13" s="273" t="str">
        <f>IF('G2 MT Reading Scoresheet'!O13&lt;&gt;"",'G2 MT Reading Scoresheet'!O13,"")</f>
        <v/>
      </c>
      <c r="P13" s="118" t="str">
        <f>IF('G2 MT Reading Scoresheet'!P13&lt;&gt;"",'G2 MT Reading Scoresheet'!P13,"")</f>
        <v/>
      </c>
      <c r="Q13" s="122" t="str">
        <f>IF('G2 MT Reading Scoresheet'!Q13&lt;&gt;"",'G2 MT Reading Scoresheet'!Q13,"")</f>
        <v/>
      </c>
      <c r="R13" s="273" t="str">
        <f>IF('G2 MT Reading Scoresheet'!R13&lt;&gt;"",'G2 MT Reading Scoresheet'!R13,"")</f>
        <v/>
      </c>
      <c r="S13" s="273" t="str">
        <f>IF('G2 MT Reading Scoresheet'!S13&lt;&gt;"",'G2 MT Reading Scoresheet'!S13,"")</f>
        <v/>
      </c>
      <c r="T13" s="276" t="str">
        <f>IF('G2 MT Reading Scoresheet'!T13&lt;&gt;"",'G2 MT Reading Scoresheet'!T13,"")</f>
        <v/>
      </c>
      <c r="U13" s="87" t="str">
        <f>IF('G2 MT Reading Scoresheet'!U13&lt;&gt;"",'G2 MT Reading Scoresheet'!U13,"")</f>
        <v>Low Emerging Reader</v>
      </c>
      <c r="V13" s="277"/>
      <c r="Y13" s="221" t="e">
        <f t="shared" si="0"/>
        <v>#VALUE!</v>
      </c>
    </row>
    <row r="14" spans="1:26" ht="14.4" x14ac:dyDescent="0.3">
      <c r="A14" s="4">
        <v>4</v>
      </c>
      <c r="B14" s="118">
        <f>IF('G2 MT Reading Scoresheet'!B14&lt;&gt;"",'G2 MT Reading Scoresheet'!B14,"")</f>
        <v>123456789015</v>
      </c>
      <c r="C14" s="133" t="str">
        <f>IF('G2 MT Reading Scoresheet'!C14&lt;&gt;"",'G2 MT Reading Scoresheet'!C14,"")</f>
        <v>Zoro Dalisay</v>
      </c>
      <c r="D14" s="134" t="str">
        <f>IF('G2 MT Reading Scoresheet'!D14&lt;&gt;"",'G2 MT Reading Scoresheet'!D14,"")</f>
        <v>Male</v>
      </c>
      <c r="E14" s="135">
        <f>IF('G2 MT Reading Scoresheet'!E14&lt;&gt;"",'G2 MT Reading Scoresheet'!E14,"")</f>
        <v>45834</v>
      </c>
      <c r="F14" s="268">
        <f>IF('G2 MT Reading Scoresheet'!F14&lt;&gt;"",'G2 MT Reading Scoresheet'!F14,"")</f>
        <v>0</v>
      </c>
      <c r="G14" s="269">
        <f>IF('G2 MT Reading Scoresheet'!G14&lt;&gt;"",'G2 MT Reading Scoresheet'!G14,"")</f>
        <v>0</v>
      </c>
      <c r="H14" s="81">
        <f>IF('G2 MT Reading Scoresheet'!H14&lt;&gt;"",'G2 MT Reading Scoresheet'!H14,"")</f>
        <v>7</v>
      </c>
      <c r="I14" s="81">
        <f>IF('G2 MT Reading Scoresheet'!I14&lt;&gt;"",'G2 MT Reading Scoresheet'!I14,"")</f>
        <v>0</v>
      </c>
      <c r="J14" s="82" t="str">
        <f>IF('G2 MT Reading Scoresheet'!J14&lt;&gt;"",'G2 MT Reading Scoresheet'!J14,"")</f>
        <v>Full Refresher</v>
      </c>
      <c r="K14" s="270" t="str">
        <f>IF('G2 MT Reading Scoresheet'!K14&lt;&gt;"",'G2 MT Reading Scoresheet'!K14,"")</f>
        <v/>
      </c>
      <c r="L14" s="87" t="str">
        <f>IF('G2 MT Reading Scoresheet'!L14&lt;&gt;"",'G2 MT Reading Scoresheet'!L14,"")</f>
        <v/>
      </c>
      <c r="M14" s="118" t="str">
        <f>IF('G2 MT Reading Scoresheet'!M14&lt;&gt;"",'G2 MT Reading Scoresheet'!M14,"")</f>
        <v/>
      </c>
      <c r="N14" s="81" t="str">
        <f>IF('G2 MT Reading Scoresheet'!N14&lt;&gt;"",'G2 MT Reading Scoresheet'!N14,"")</f>
        <v/>
      </c>
      <c r="O14" s="81" t="str">
        <f>IF('G2 MT Reading Scoresheet'!O14&lt;&gt;"",'G2 MT Reading Scoresheet'!O14,"")</f>
        <v/>
      </c>
      <c r="P14" s="118" t="str">
        <f>IF('G2 MT Reading Scoresheet'!P14&lt;&gt;"",'G2 MT Reading Scoresheet'!P14,"")</f>
        <v/>
      </c>
      <c r="Q14" s="122" t="str">
        <f>IF('G2 MT Reading Scoresheet'!Q14&lt;&gt;"",'G2 MT Reading Scoresheet'!Q14,"")</f>
        <v/>
      </c>
      <c r="R14" s="81" t="str">
        <f>IF('G2 MT Reading Scoresheet'!R14&lt;&gt;"",'G2 MT Reading Scoresheet'!R14,"")</f>
        <v/>
      </c>
      <c r="S14" s="81" t="str">
        <f>IF('G2 MT Reading Scoresheet'!S14&lt;&gt;"",'G2 MT Reading Scoresheet'!S14,"")</f>
        <v/>
      </c>
      <c r="T14" s="82" t="str">
        <f>IF('G2 MT Reading Scoresheet'!T14&lt;&gt;"",'G2 MT Reading Scoresheet'!T14,"")</f>
        <v/>
      </c>
      <c r="U14" s="87" t="str">
        <f>IF('G2 MT Reading Scoresheet'!U14&lt;&gt;"",'G2 MT Reading Scoresheet'!U14,"")</f>
        <v>Low Emerging Reader</v>
      </c>
      <c r="V14" s="271"/>
      <c r="Y14" s="221" t="e">
        <f t="shared" si="0"/>
        <v>#VALUE!</v>
      </c>
    </row>
    <row r="15" spans="1:26" ht="14.4" x14ac:dyDescent="0.3">
      <c r="A15" s="5">
        <v>5</v>
      </c>
      <c r="B15" s="118">
        <f>IF('G2 MT Reading Scoresheet'!B15&lt;&gt;"",'G2 MT Reading Scoresheet'!B15,"")</f>
        <v>123456789016</v>
      </c>
      <c r="C15" s="133" t="str">
        <f>IF('G2 MT Reading Scoresheet'!C15&lt;&gt;"",'G2 MT Reading Scoresheet'!C15,"")</f>
        <v>Usof Matapang</v>
      </c>
      <c r="D15" s="134" t="str">
        <f>IF('G2 MT Reading Scoresheet'!D15&lt;&gt;"",'G2 MT Reading Scoresheet'!D15,"")</f>
        <v>Male</v>
      </c>
      <c r="E15" s="135">
        <f>IF('G2 MT Reading Scoresheet'!E15&lt;&gt;"",'G2 MT Reading Scoresheet'!E15,"")</f>
        <v>45835</v>
      </c>
      <c r="F15" s="272">
        <f>IF('G2 MT Reading Scoresheet'!F15&lt;&gt;"",'G2 MT Reading Scoresheet'!F15,"")</f>
        <v>5</v>
      </c>
      <c r="G15" s="262">
        <f>IF('G2 MT Reading Scoresheet'!G15&lt;&gt;"",'G2 MT Reading Scoresheet'!G15,"")</f>
        <v>5</v>
      </c>
      <c r="H15" s="273">
        <f>IF('G2 MT Reading Scoresheet'!H15&lt;&gt;"",'G2 MT Reading Scoresheet'!H15,"")</f>
        <v>10</v>
      </c>
      <c r="I15" s="81">
        <f>IF('G2 MT Reading Scoresheet'!I15&lt;&gt;"",'G2 MT Reading Scoresheet'!I15,"")</f>
        <v>10</v>
      </c>
      <c r="J15" s="82" t="str">
        <f>IF('G2 MT Reading Scoresheet'!J15&lt;&gt;"",'G2 MT Reading Scoresheet'!J15,"")</f>
        <v>Full Refresher</v>
      </c>
      <c r="K15" s="274" t="str">
        <f>IF('G2 MT Reading Scoresheet'!K15&lt;&gt;"",'G2 MT Reading Scoresheet'!K15,"")</f>
        <v/>
      </c>
      <c r="L15" s="275" t="str">
        <f>IF('G2 MT Reading Scoresheet'!L15&lt;&gt;"",'G2 MT Reading Scoresheet'!L15,"")</f>
        <v/>
      </c>
      <c r="M15" s="118" t="str">
        <f>IF('G2 MT Reading Scoresheet'!M15&lt;&gt;"",'G2 MT Reading Scoresheet'!M15,"")</f>
        <v/>
      </c>
      <c r="N15" s="273" t="str">
        <f>IF('G2 MT Reading Scoresheet'!N15&lt;&gt;"",'G2 MT Reading Scoresheet'!N15,"")</f>
        <v/>
      </c>
      <c r="O15" s="273" t="str">
        <f>IF('G2 MT Reading Scoresheet'!O15&lt;&gt;"",'G2 MT Reading Scoresheet'!O15,"")</f>
        <v/>
      </c>
      <c r="P15" s="118" t="str">
        <f>IF('G2 MT Reading Scoresheet'!P15&lt;&gt;"",'G2 MT Reading Scoresheet'!P15,"")</f>
        <v/>
      </c>
      <c r="Q15" s="122" t="str">
        <f>IF('G2 MT Reading Scoresheet'!Q15&lt;&gt;"",'G2 MT Reading Scoresheet'!Q15,"")</f>
        <v/>
      </c>
      <c r="R15" s="273" t="str">
        <f>IF('G2 MT Reading Scoresheet'!R15&lt;&gt;"",'G2 MT Reading Scoresheet'!R15,"")</f>
        <v/>
      </c>
      <c r="S15" s="273" t="str">
        <f>IF('G2 MT Reading Scoresheet'!S15&lt;&gt;"",'G2 MT Reading Scoresheet'!S15,"")</f>
        <v/>
      </c>
      <c r="T15" s="276" t="str">
        <f>IF('G2 MT Reading Scoresheet'!T15&lt;&gt;"",'G2 MT Reading Scoresheet'!T15,"")</f>
        <v/>
      </c>
      <c r="U15" s="87" t="str">
        <f>IF('G2 MT Reading Scoresheet'!U15&lt;&gt;"",'G2 MT Reading Scoresheet'!U15,"")</f>
        <v>Low Emerging Reader</v>
      </c>
      <c r="V15" s="277"/>
      <c r="Y15" s="221" t="e">
        <f t="shared" si="0"/>
        <v>#VALUE!</v>
      </c>
    </row>
    <row r="16" spans="1:26" ht="14.4" x14ac:dyDescent="0.3">
      <c r="A16" s="4">
        <v>6</v>
      </c>
      <c r="B16" s="118">
        <f>IF('G2 MT Reading Scoresheet'!B16&lt;&gt;"",'G2 MT Reading Scoresheet'!B16,"")</f>
        <v>123456789017</v>
      </c>
      <c r="C16" s="133" t="str">
        <f>IF('G2 MT Reading Scoresheet'!C16&lt;&gt;"",'G2 MT Reading Scoresheet'!C16,"")</f>
        <v>Chopper Sama</v>
      </c>
      <c r="D16" s="134" t="str">
        <f>IF('G2 MT Reading Scoresheet'!D16&lt;&gt;"",'G2 MT Reading Scoresheet'!D16,"")</f>
        <v>Male</v>
      </c>
      <c r="E16" s="135">
        <f>IF('G2 MT Reading Scoresheet'!E16&lt;&gt;"",'G2 MT Reading Scoresheet'!E16,"")</f>
        <v>45833</v>
      </c>
      <c r="F16" s="268">
        <f>IF('G2 MT Reading Scoresheet'!F16&lt;&gt;"",'G2 MT Reading Scoresheet'!F16,"")</f>
        <v>10</v>
      </c>
      <c r="G16" s="269" t="str">
        <f>IF('G2 MT Reading Scoresheet'!G16&lt;&gt;"",'G2 MT Reading Scoresheet'!G16,"")</f>
        <v/>
      </c>
      <c r="H16" s="81">
        <f>IF('G2 MT Reading Scoresheet'!H16&lt;&gt;"",'G2 MT Reading Scoresheet'!H16,"")</f>
        <v>10</v>
      </c>
      <c r="I16" s="81">
        <f>IF('G2 MT Reading Scoresheet'!I16&lt;&gt;"",'G2 MT Reading Scoresheet'!I16,"")</f>
        <v>30</v>
      </c>
      <c r="J16" s="82" t="str">
        <f>IF('G2 MT Reading Scoresheet'!J16&lt;&gt;"",'G2 MT Reading Scoresheet'!J16,"")</f>
        <v>Grade Ready</v>
      </c>
      <c r="K16" s="270">
        <f>IF('G2 MT Reading Scoresheet'!K16&lt;&gt;"",'G2 MT Reading Scoresheet'!K16,"")</f>
        <v>2</v>
      </c>
      <c r="L16" s="87">
        <f>IF('G2 MT Reading Scoresheet'!L16&lt;&gt;"",'G2 MT Reading Scoresheet'!L16,"")</f>
        <v>0</v>
      </c>
      <c r="M16" s="118">
        <f>IF('G2 MT Reading Scoresheet'!M16&lt;&gt;"",'G2 MT Reading Scoresheet'!M16,"")</f>
        <v>95</v>
      </c>
      <c r="N16" s="81">
        <f>IF('G2 MT Reading Scoresheet'!N16&lt;&gt;"",'G2 MT Reading Scoresheet'!N16,"")</f>
        <v>2</v>
      </c>
      <c r="O16" s="81">
        <f>IF('G2 MT Reading Scoresheet'!O16&lt;&gt;"",'G2 MT Reading Scoresheet'!O16,"")</f>
        <v>0</v>
      </c>
      <c r="P16" s="118">
        <f>IF('G2 MT Reading Scoresheet'!P16&lt;&gt;"",'G2 MT Reading Scoresheet'!P16,"")</f>
        <v>47.5</v>
      </c>
      <c r="Q16" s="122">
        <f>IF('G2 MT Reading Scoresheet'!Q16&lt;&gt;"",'G2 MT Reading Scoresheet'!Q16,"")</f>
        <v>1</v>
      </c>
      <c r="R16" s="81">
        <f>IF('G2 MT Reading Scoresheet'!R16&lt;&gt;"",'G2 MT Reading Scoresheet'!R16,"")</f>
        <v>1</v>
      </c>
      <c r="S16" s="81">
        <f>IF('G2 MT Reading Scoresheet'!S16&lt;&gt;"",'G2 MT Reading Scoresheet'!S16,"")</f>
        <v>3</v>
      </c>
      <c r="T16" s="82" t="str">
        <f>IF('G2 MT Reading Scoresheet'!T16&lt;&gt;"",'G2 MT Reading Scoresheet'!T16,"")</f>
        <v>Level 3</v>
      </c>
      <c r="U16" s="87" t="str">
        <f>IF('G2 MT Reading Scoresheet'!U16&lt;&gt;"",'G2 MT Reading Scoresheet'!U16,"")</f>
        <v>Transitioning Reader</v>
      </c>
      <c r="V16" s="271"/>
      <c r="Y16" s="221">
        <f t="shared" si="0"/>
        <v>0.16666666666666666</v>
      </c>
    </row>
    <row r="17" spans="1:25" ht="14.4" x14ac:dyDescent="0.3">
      <c r="A17" s="5">
        <v>7</v>
      </c>
      <c r="B17" s="118">
        <f>IF('G2 MT Reading Scoresheet'!B17&lt;&gt;"",'G2 MT Reading Scoresheet'!B17,"")</f>
        <v>123456789018</v>
      </c>
      <c r="C17" s="133" t="str">
        <f>IF('G2 MT Reading Scoresheet'!C17&lt;&gt;"",'G2 MT Reading Scoresheet'!C17,"")</f>
        <v>Justin Barber</v>
      </c>
      <c r="D17" s="134" t="str">
        <f>IF('G2 MT Reading Scoresheet'!D17&lt;&gt;"",'G2 MT Reading Scoresheet'!D17,"")</f>
        <v>Male</v>
      </c>
      <c r="E17" s="135">
        <f>IF('G2 MT Reading Scoresheet'!E17&lt;&gt;"",'G2 MT Reading Scoresheet'!E17,"")</f>
        <v>45834</v>
      </c>
      <c r="F17" s="272">
        <f>IF('G2 MT Reading Scoresheet'!F17&lt;&gt;"",'G2 MT Reading Scoresheet'!F17,"")</f>
        <v>0</v>
      </c>
      <c r="G17" s="262">
        <f>IF('G2 MT Reading Scoresheet'!G17&lt;&gt;"",'G2 MT Reading Scoresheet'!G17,"")</f>
        <v>0</v>
      </c>
      <c r="H17" s="273" t="str">
        <f>IF('G2 MT Reading Scoresheet'!H17&lt;&gt;"",'G2 MT Reading Scoresheet'!H17,"")</f>
        <v/>
      </c>
      <c r="I17" s="81">
        <f>IF('G2 MT Reading Scoresheet'!I17&lt;&gt;"",'G2 MT Reading Scoresheet'!I17,"")</f>
        <v>0</v>
      </c>
      <c r="J17" s="82" t="str">
        <f>IF('G2 MT Reading Scoresheet'!J17&lt;&gt;"",'G2 MT Reading Scoresheet'!J17,"")</f>
        <v>Full Refresher</v>
      </c>
      <c r="K17" s="274" t="str">
        <f>IF('G2 MT Reading Scoresheet'!K17&lt;&gt;"",'G2 MT Reading Scoresheet'!K17,"")</f>
        <v/>
      </c>
      <c r="L17" s="275" t="str">
        <f>IF('G2 MT Reading Scoresheet'!L17&lt;&gt;"",'G2 MT Reading Scoresheet'!L17,"")</f>
        <v/>
      </c>
      <c r="M17" s="118" t="str">
        <f>IF('G2 MT Reading Scoresheet'!M17&lt;&gt;"",'G2 MT Reading Scoresheet'!M17,"")</f>
        <v/>
      </c>
      <c r="N17" s="273" t="str">
        <f>IF('G2 MT Reading Scoresheet'!N17&lt;&gt;"",'G2 MT Reading Scoresheet'!N17,"")</f>
        <v/>
      </c>
      <c r="O17" s="273" t="str">
        <f>IF('G2 MT Reading Scoresheet'!O17&lt;&gt;"",'G2 MT Reading Scoresheet'!O17,"")</f>
        <v/>
      </c>
      <c r="P17" s="118" t="str">
        <f>IF('G2 MT Reading Scoresheet'!P17&lt;&gt;"",'G2 MT Reading Scoresheet'!P17,"")</f>
        <v/>
      </c>
      <c r="Q17" s="122" t="str">
        <f>IF('G2 MT Reading Scoresheet'!Q17&lt;&gt;"",'G2 MT Reading Scoresheet'!Q17,"")</f>
        <v/>
      </c>
      <c r="R17" s="273" t="str">
        <f>IF('G2 MT Reading Scoresheet'!R17&lt;&gt;"",'G2 MT Reading Scoresheet'!R17,"")</f>
        <v/>
      </c>
      <c r="S17" s="273" t="str">
        <f>IF('G2 MT Reading Scoresheet'!S17&lt;&gt;"",'G2 MT Reading Scoresheet'!S17,"")</f>
        <v/>
      </c>
      <c r="T17" s="276" t="str">
        <f>IF('G2 MT Reading Scoresheet'!T17&lt;&gt;"",'G2 MT Reading Scoresheet'!T17,"")</f>
        <v/>
      </c>
      <c r="U17" s="87" t="str">
        <f>IF('G2 MT Reading Scoresheet'!U17&lt;&gt;"",'G2 MT Reading Scoresheet'!U17,"")</f>
        <v>Low Emerging Reader</v>
      </c>
      <c r="V17" s="277"/>
      <c r="Y17" s="221" t="e">
        <f t="shared" si="0"/>
        <v>#VALUE!</v>
      </c>
    </row>
    <row r="18" spans="1:25" ht="14.4" x14ac:dyDescent="0.3">
      <c r="A18" s="4">
        <v>8</v>
      </c>
      <c r="B18" s="118">
        <f>IF('G2 MT Reading Scoresheet'!B18&lt;&gt;"",'G2 MT Reading Scoresheet'!B18,"")</f>
        <v>123456789019</v>
      </c>
      <c r="C18" s="133" t="str">
        <f>IF('G2 MT Reading Scoresheet'!C18&lt;&gt;"",'G2 MT Reading Scoresheet'!C18,"")</f>
        <v>Alex Lopez</v>
      </c>
      <c r="D18" s="134" t="str">
        <f>IF('G2 MT Reading Scoresheet'!D18&lt;&gt;"",'G2 MT Reading Scoresheet'!D18,"")</f>
        <v>Male</v>
      </c>
      <c r="E18" s="135">
        <f>IF('G2 MT Reading Scoresheet'!E18&lt;&gt;"",'G2 MT Reading Scoresheet'!E18,"")</f>
        <v>45834</v>
      </c>
      <c r="F18" s="268">
        <f>IF('G2 MT Reading Scoresheet'!F18&lt;&gt;"",'G2 MT Reading Scoresheet'!F18,"")</f>
        <v>9</v>
      </c>
      <c r="G18" s="269" t="str">
        <f>IF('G2 MT Reading Scoresheet'!G18&lt;&gt;"",'G2 MT Reading Scoresheet'!G18,"")</f>
        <v/>
      </c>
      <c r="H18" s="81">
        <f>IF('G2 MT Reading Scoresheet'!H18&lt;&gt;"",'G2 MT Reading Scoresheet'!H18,"")</f>
        <v>9</v>
      </c>
      <c r="I18" s="81">
        <f>IF('G2 MT Reading Scoresheet'!I18&lt;&gt;"",'G2 MT Reading Scoresheet'!I18,"")</f>
        <v>28</v>
      </c>
      <c r="J18" s="82" t="str">
        <f>IF('G2 MT Reading Scoresheet'!J18&lt;&gt;"",'G2 MT Reading Scoresheet'!J18,"")</f>
        <v>Grade Ready</v>
      </c>
      <c r="K18" s="270">
        <f>IF('G2 MT Reading Scoresheet'!K18&lt;&gt;"",'G2 MT Reading Scoresheet'!K18,"")</f>
        <v>2</v>
      </c>
      <c r="L18" s="87">
        <f>IF('G2 MT Reading Scoresheet'!L18&lt;&gt;"",'G2 MT Reading Scoresheet'!L18,"")</f>
        <v>4</v>
      </c>
      <c r="M18" s="118">
        <f>IF('G2 MT Reading Scoresheet'!M18&lt;&gt;"",'G2 MT Reading Scoresheet'!M18,"")</f>
        <v>91</v>
      </c>
      <c r="N18" s="81">
        <f>IF('G2 MT Reading Scoresheet'!N18&lt;&gt;"",'G2 MT Reading Scoresheet'!N18,"")</f>
        <v>2</v>
      </c>
      <c r="O18" s="81">
        <f>IF('G2 MT Reading Scoresheet'!O18&lt;&gt;"",'G2 MT Reading Scoresheet'!O18,"")</f>
        <v>0</v>
      </c>
      <c r="P18" s="118">
        <f>IF('G2 MT Reading Scoresheet'!P18&lt;&gt;"",'G2 MT Reading Scoresheet'!P18,"")</f>
        <v>45.5</v>
      </c>
      <c r="Q18" s="122">
        <f>IF('G2 MT Reading Scoresheet'!Q18&lt;&gt;"",'G2 MT Reading Scoresheet'!Q18,"")</f>
        <v>0.95789473684210524</v>
      </c>
      <c r="R18" s="81">
        <f>IF('G2 MT Reading Scoresheet'!R18&lt;&gt;"",'G2 MT Reading Scoresheet'!R18,"")</f>
        <v>1</v>
      </c>
      <c r="S18" s="81">
        <f>IF('G2 MT Reading Scoresheet'!S18&lt;&gt;"",'G2 MT Reading Scoresheet'!S18,"")</f>
        <v>3</v>
      </c>
      <c r="T18" s="82" t="str">
        <f>IF('G2 MT Reading Scoresheet'!T18&lt;&gt;"",'G2 MT Reading Scoresheet'!T18,"")</f>
        <v>Level 2</v>
      </c>
      <c r="U18" s="87" t="str">
        <f>IF('G2 MT Reading Scoresheet'!U18&lt;&gt;"",'G2 MT Reading Scoresheet'!U18,"")</f>
        <v>Transitioning Reader</v>
      </c>
      <c r="V18" s="271"/>
      <c r="Y18" s="221">
        <f t="shared" si="0"/>
        <v>0.16666666666666666</v>
      </c>
    </row>
    <row r="19" spans="1:25" ht="14.4" x14ac:dyDescent="0.3">
      <c r="A19" s="5">
        <v>9</v>
      </c>
      <c r="B19" s="118">
        <f>IF('G2 MT Reading Scoresheet'!B19&lt;&gt;"",'G2 MT Reading Scoresheet'!B19,"")</f>
        <v>123456789020</v>
      </c>
      <c r="C19" s="133" t="str">
        <f>IF('G2 MT Reading Scoresheet'!C19&lt;&gt;"",'G2 MT Reading Scoresheet'!C19,"")</f>
        <v>Ethan Reyes</v>
      </c>
      <c r="D19" s="134" t="str">
        <f>IF('G2 MT Reading Scoresheet'!D19&lt;&gt;"",'G2 MT Reading Scoresheet'!D19,"")</f>
        <v>Male</v>
      </c>
      <c r="E19" s="135">
        <f>IF('G2 MT Reading Scoresheet'!E19&lt;&gt;"",'G2 MT Reading Scoresheet'!E19,"")</f>
        <v>45835</v>
      </c>
      <c r="F19" s="272">
        <f>IF('G2 MT Reading Scoresheet'!F19&lt;&gt;"",'G2 MT Reading Scoresheet'!F19,"")</f>
        <v>8</v>
      </c>
      <c r="G19" s="262" t="str">
        <f>IF('G2 MT Reading Scoresheet'!G19&lt;&gt;"",'G2 MT Reading Scoresheet'!G19,"")</f>
        <v/>
      </c>
      <c r="H19" s="273">
        <f>IF('G2 MT Reading Scoresheet'!H19&lt;&gt;"",'G2 MT Reading Scoresheet'!H19,"")</f>
        <v>9</v>
      </c>
      <c r="I19" s="81">
        <f>IF('G2 MT Reading Scoresheet'!I19&lt;&gt;"",'G2 MT Reading Scoresheet'!I19,"")</f>
        <v>27</v>
      </c>
      <c r="J19" s="82" t="str">
        <f>IF('G2 MT Reading Scoresheet'!J19&lt;&gt;"",'G2 MT Reading Scoresheet'!J19,"")</f>
        <v>Grade Ready</v>
      </c>
      <c r="K19" s="274">
        <f>IF('G2 MT Reading Scoresheet'!K19&lt;&gt;"",'G2 MT Reading Scoresheet'!K19,"")</f>
        <v>2</v>
      </c>
      <c r="L19" s="275">
        <f>IF('G2 MT Reading Scoresheet'!L19&lt;&gt;"",'G2 MT Reading Scoresheet'!L19,"")</f>
        <v>6</v>
      </c>
      <c r="M19" s="118">
        <f>IF('G2 MT Reading Scoresheet'!M19&lt;&gt;"",'G2 MT Reading Scoresheet'!M19,"")</f>
        <v>89</v>
      </c>
      <c r="N19" s="273">
        <f>IF('G2 MT Reading Scoresheet'!N19&lt;&gt;"",'G2 MT Reading Scoresheet'!N19,"")</f>
        <v>2</v>
      </c>
      <c r="O19" s="273">
        <f>IF('G2 MT Reading Scoresheet'!O19&lt;&gt;"",'G2 MT Reading Scoresheet'!O19,"")</f>
        <v>0</v>
      </c>
      <c r="P19" s="118">
        <f>IF('G2 MT Reading Scoresheet'!P19&lt;&gt;"",'G2 MT Reading Scoresheet'!P19,"")</f>
        <v>44.5</v>
      </c>
      <c r="Q19" s="122">
        <f>IF('G2 MT Reading Scoresheet'!Q19&lt;&gt;"",'G2 MT Reading Scoresheet'!Q19,"")</f>
        <v>0.93684210526315792</v>
      </c>
      <c r="R19" s="273">
        <f>IF('G2 MT Reading Scoresheet'!R19&lt;&gt;"",'G2 MT Reading Scoresheet'!R19,"")</f>
        <v>0</v>
      </c>
      <c r="S19" s="273">
        <f>IF('G2 MT Reading Scoresheet'!S19&lt;&gt;"",'G2 MT Reading Scoresheet'!S19,"")</f>
        <v>2</v>
      </c>
      <c r="T19" s="276" t="str">
        <f>IF('G2 MT Reading Scoresheet'!T19&lt;&gt;"",'G2 MT Reading Scoresheet'!T19,"")</f>
        <v>Level 2</v>
      </c>
      <c r="U19" s="87" t="str">
        <f>IF('G2 MT Reading Scoresheet'!U19&lt;&gt;"",'G2 MT Reading Scoresheet'!U19,"")</f>
        <v>Transitioning Reader</v>
      </c>
      <c r="V19" s="277"/>
      <c r="Y19" s="221">
        <f t="shared" si="0"/>
        <v>0</v>
      </c>
    </row>
    <row r="20" spans="1:25" ht="14.4" x14ac:dyDescent="0.3">
      <c r="A20" s="4">
        <v>10</v>
      </c>
      <c r="B20" s="118">
        <f>IF('G2 MT Reading Scoresheet'!B20&lt;&gt;"",'G2 MT Reading Scoresheet'!B20,"")</f>
        <v>123456789021</v>
      </c>
      <c r="C20" s="133" t="str">
        <f>IF('G2 MT Reading Scoresheet'!C20&lt;&gt;"",'G2 MT Reading Scoresheet'!C20,"")</f>
        <v>Caleb Santos</v>
      </c>
      <c r="D20" s="134" t="str">
        <f>IF('G2 MT Reading Scoresheet'!D20&lt;&gt;"",'G2 MT Reading Scoresheet'!D20,"")</f>
        <v>Male</v>
      </c>
      <c r="E20" s="135">
        <f>IF('G2 MT Reading Scoresheet'!E20&lt;&gt;"",'G2 MT Reading Scoresheet'!E20,"")</f>
        <v>45834</v>
      </c>
      <c r="F20" s="268">
        <f>IF('G2 MT Reading Scoresheet'!F20&lt;&gt;"",'G2 MT Reading Scoresheet'!F20,"")</f>
        <v>10</v>
      </c>
      <c r="G20" s="269" t="str">
        <f>IF('G2 MT Reading Scoresheet'!G20&lt;&gt;"",'G2 MT Reading Scoresheet'!G20,"")</f>
        <v/>
      </c>
      <c r="H20" s="81">
        <f>IF('G2 MT Reading Scoresheet'!H20&lt;&gt;"",'G2 MT Reading Scoresheet'!H20,"")</f>
        <v>10</v>
      </c>
      <c r="I20" s="81">
        <f>IF('G2 MT Reading Scoresheet'!I20&lt;&gt;"",'G2 MT Reading Scoresheet'!I20,"")</f>
        <v>30</v>
      </c>
      <c r="J20" s="82" t="str">
        <f>IF('G2 MT Reading Scoresheet'!J20&lt;&gt;"",'G2 MT Reading Scoresheet'!J20,"")</f>
        <v>Grade Ready</v>
      </c>
      <c r="K20" s="270">
        <f>IF('G2 MT Reading Scoresheet'!K20&lt;&gt;"",'G2 MT Reading Scoresheet'!K20,"")</f>
        <v>2</v>
      </c>
      <c r="L20" s="87">
        <f>IF('G2 MT Reading Scoresheet'!L20&lt;&gt;"",'G2 MT Reading Scoresheet'!L20,"")</f>
        <v>0</v>
      </c>
      <c r="M20" s="118">
        <f>IF('G2 MT Reading Scoresheet'!M20&lt;&gt;"",'G2 MT Reading Scoresheet'!M20,"")</f>
        <v>95</v>
      </c>
      <c r="N20" s="81">
        <f>IF('G2 MT Reading Scoresheet'!N20&lt;&gt;"",'G2 MT Reading Scoresheet'!N20,"")</f>
        <v>2</v>
      </c>
      <c r="O20" s="81">
        <f>IF('G2 MT Reading Scoresheet'!O20&lt;&gt;"",'G2 MT Reading Scoresheet'!O20,"")</f>
        <v>0</v>
      </c>
      <c r="P20" s="118">
        <f>IF('G2 MT Reading Scoresheet'!P20&lt;&gt;"",'G2 MT Reading Scoresheet'!P20,"")</f>
        <v>47.5</v>
      </c>
      <c r="Q20" s="122">
        <f>IF('G2 MT Reading Scoresheet'!Q20&lt;&gt;"",'G2 MT Reading Scoresheet'!Q20,"")</f>
        <v>1</v>
      </c>
      <c r="R20" s="81">
        <f>IF('G2 MT Reading Scoresheet'!R20&lt;&gt;"",'G2 MT Reading Scoresheet'!R20,"")</f>
        <v>2</v>
      </c>
      <c r="S20" s="81">
        <f>IF('G2 MT Reading Scoresheet'!S20&lt;&gt;"",'G2 MT Reading Scoresheet'!S20,"")</f>
        <v>3</v>
      </c>
      <c r="T20" s="82" t="str">
        <f>IF('G2 MT Reading Scoresheet'!T20&lt;&gt;"",'G2 MT Reading Scoresheet'!T20,"")</f>
        <v>Level 3</v>
      </c>
      <c r="U20" s="87" t="str">
        <f>IF('G2 MT Reading Scoresheet'!U20&lt;&gt;"",'G2 MT Reading Scoresheet'!U20,"")</f>
        <v>Transitioning Reader</v>
      </c>
      <c r="V20" s="271"/>
      <c r="Y20" s="221">
        <f t="shared" si="0"/>
        <v>0.33333333333333331</v>
      </c>
    </row>
    <row r="21" spans="1:25" ht="14.4" x14ac:dyDescent="0.3">
      <c r="A21" s="5">
        <v>11</v>
      </c>
      <c r="B21" s="118">
        <f>IF('G2 MT Reading Scoresheet'!B21&lt;&gt;"",'G2 MT Reading Scoresheet'!B21,"")</f>
        <v>123456789022</v>
      </c>
      <c r="C21" s="133" t="str">
        <f>IF('G2 MT Reading Scoresheet'!C21&lt;&gt;"",'G2 MT Reading Scoresheet'!C21,"")</f>
        <v>Noah Villanueva</v>
      </c>
      <c r="D21" s="134" t="str">
        <f>IF('G2 MT Reading Scoresheet'!D21&lt;&gt;"",'G2 MT Reading Scoresheet'!D21,"")</f>
        <v>Male</v>
      </c>
      <c r="E21" s="135">
        <f>IF('G2 MT Reading Scoresheet'!E21&lt;&gt;"",'G2 MT Reading Scoresheet'!E21,"")</f>
        <v>45835</v>
      </c>
      <c r="F21" s="272">
        <f>IF('G2 MT Reading Scoresheet'!F21&lt;&gt;"",'G2 MT Reading Scoresheet'!F21,"")</f>
        <v>0</v>
      </c>
      <c r="G21" s="262">
        <f>IF('G2 MT Reading Scoresheet'!G21&lt;&gt;"",'G2 MT Reading Scoresheet'!G21,"")</f>
        <v>0</v>
      </c>
      <c r="H21" s="273">
        <f>IF('G2 MT Reading Scoresheet'!H21&lt;&gt;"",'G2 MT Reading Scoresheet'!H21,"")</f>
        <v>10</v>
      </c>
      <c r="I21" s="81">
        <f>IF('G2 MT Reading Scoresheet'!I21&lt;&gt;"",'G2 MT Reading Scoresheet'!I21,"")</f>
        <v>0</v>
      </c>
      <c r="J21" s="82" t="str">
        <f>IF('G2 MT Reading Scoresheet'!J21&lt;&gt;"",'G2 MT Reading Scoresheet'!J21,"")</f>
        <v>Full Refresher</v>
      </c>
      <c r="K21" s="274" t="str">
        <f>IF('G2 MT Reading Scoresheet'!K21&lt;&gt;"",'G2 MT Reading Scoresheet'!K21,"")</f>
        <v/>
      </c>
      <c r="L21" s="275" t="str">
        <f>IF('G2 MT Reading Scoresheet'!L21&lt;&gt;"",'G2 MT Reading Scoresheet'!L21,"")</f>
        <v/>
      </c>
      <c r="M21" s="118" t="str">
        <f>IF('G2 MT Reading Scoresheet'!M21&lt;&gt;"",'G2 MT Reading Scoresheet'!M21,"")</f>
        <v/>
      </c>
      <c r="N21" s="273" t="str">
        <f>IF('G2 MT Reading Scoresheet'!N21&lt;&gt;"",'G2 MT Reading Scoresheet'!N21,"")</f>
        <v/>
      </c>
      <c r="O21" s="273" t="str">
        <f>IF('G2 MT Reading Scoresheet'!O21&lt;&gt;"",'G2 MT Reading Scoresheet'!O21,"")</f>
        <v/>
      </c>
      <c r="P21" s="118" t="str">
        <f>IF('G2 MT Reading Scoresheet'!P21&lt;&gt;"",'G2 MT Reading Scoresheet'!P21,"")</f>
        <v/>
      </c>
      <c r="Q21" s="122" t="str">
        <f>IF('G2 MT Reading Scoresheet'!Q21&lt;&gt;"",'G2 MT Reading Scoresheet'!Q21,"")</f>
        <v/>
      </c>
      <c r="R21" s="273" t="str">
        <f>IF('G2 MT Reading Scoresheet'!R21&lt;&gt;"",'G2 MT Reading Scoresheet'!R21,"")</f>
        <v/>
      </c>
      <c r="S21" s="273" t="str">
        <f>IF('G2 MT Reading Scoresheet'!S21&lt;&gt;"",'G2 MT Reading Scoresheet'!S21,"")</f>
        <v/>
      </c>
      <c r="T21" s="276" t="str">
        <f>IF('G2 MT Reading Scoresheet'!T21&lt;&gt;"",'G2 MT Reading Scoresheet'!T21,"")</f>
        <v/>
      </c>
      <c r="U21" s="87" t="str">
        <f>IF('G2 MT Reading Scoresheet'!U21&lt;&gt;"",'G2 MT Reading Scoresheet'!U21,"")</f>
        <v>Low Emerging Reader</v>
      </c>
      <c r="V21" s="277"/>
      <c r="Y21" s="221" t="e">
        <f t="shared" si="0"/>
        <v>#VALUE!</v>
      </c>
    </row>
    <row r="22" spans="1:25" ht="14.4" x14ac:dyDescent="0.3">
      <c r="A22" s="4">
        <v>12</v>
      </c>
      <c r="B22" s="118">
        <f>IF('G2 MT Reading Scoresheet'!B22&lt;&gt;"",'G2 MT Reading Scoresheet'!B22,"")</f>
        <v>123456789023</v>
      </c>
      <c r="C22" s="133" t="str">
        <f>IF('G2 MT Reading Scoresheet'!C22&lt;&gt;"",'G2 MT Reading Scoresheet'!C22,"")</f>
        <v>Daniel Navarro</v>
      </c>
      <c r="D22" s="134" t="str">
        <f>IF('G2 MT Reading Scoresheet'!D22&lt;&gt;"",'G2 MT Reading Scoresheet'!D22,"")</f>
        <v>Male</v>
      </c>
      <c r="E22" s="135">
        <f>IF('G2 MT Reading Scoresheet'!E22&lt;&gt;"",'G2 MT Reading Scoresheet'!E22,"")</f>
        <v>45835</v>
      </c>
      <c r="F22" s="268">
        <f>IF('G2 MT Reading Scoresheet'!F22&lt;&gt;"",'G2 MT Reading Scoresheet'!F22,"")</f>
        <v>0</v>
      </c>
      <c r="G22" s="269">
        <f>IF('G2 MT Reading Scoresheet'!G22&lt;&gt;"",'G2 MT Reading Scoresheet'!G22,"")</f>
        <v>0</v>
      </c>
      <c r="H22" s="81">
        <f>IF('G2 MT Reading Scoresheet'!H22&lt;&gt;"",'G2 MT Reading Scoresheet'!H22,"")</f>
        <v>10</v>
      </c>
      <c r="I22" s="81">
        <f>IF('G2 MT Reading Scoresheet'!I22&lt;&gt;"",'G2 MT Reading Scoresheet'!I22,"")</f>
        <v>0</v>
      </c>
      <c r="J22" s="82" t="str">
        <f>IF('G2 MT Reading Scoresheet'!J22&lt;&gt;"",'G2 MT Reading Scoresheet'!J22,"")</f>
        <v>Full Refresher</v>
      </c>
      <c r="K22" s="270" t="str">
        <f>IF('G2 MT Reading Scoresheet'!K22&lt;&gt;"",'G2 MT Reading Scoresheet'!K22,"")</f>
        <v/>
      </c>
      <c r="L22" s="87" t="str">
        <f>IF('G2 MT Reading Scoresheet'!L22&lt;&gt;"",'G2 MT Reading Scoresheet'!L22,"")</f>
        <v/>
      </c>
      <c r="M22" s="118" t="str">
        <f>IF('G2 MT Reading Scoresheet'!M22&lt;&gt;"",'G2 MT Reading Scoresheet'!M22,"")</f>
        <v/>
      </c>
      <c r="N22" s="81" t="str">
        <f>IF('G2 MT Reading Scoresheet'!N22&lt;&gt;"",'G2 MT Reading Scoresheet'!N22,"")</f>
        <v/>
      </c>
      <c r="O22" s="81" t="str">
        <f>IF('G2 MT Reading Scoresheet'!O22&lt;&gt;"",'G2 MT Reading Scoresheet'!O22,"")</f>
        <v/>
      </c>
      <c r="P22" s="118" t="str">
        <f>IF('G2 MT Reading Scoresheet'!P22&lt;&gt;"",'G2 MT Reading Scoresheet'!P22,"")</f>
        <v/>
      </c>
      <c r="Q22" s="122" t="str">
        <f>IF('G2 MT Reading Scoresheet'!Q22&lt;&gt;"",'G2 MT Reading Scoresheet'!Q22,"")</f>
        <v/>
      </c>
      <c r="R22" s="81" t="str">
        <f>IF('G2 MT Reading Scoresheet'!R22&lt;&gt;"",'G2 MT Reading Scoresheet'!R22,"")</f>
        <v/>
      </c>
      <c r="S22" s="81" t="str">
        <f>IF('G2 MT Reading Scoresheet'!S22&lt;&gt;"",'G2 MT Reading Scoresheet'!S22,"")</f>
        <v/>
      </c>
      <c r="T22" s="82" t="str">
        <f>IF('G2 MT Reading Scoresheet'!T22&lt;&gt;"",'G2 MT Reading Scoresheet'!T22,"")</f>
        <v/>
      </c>
      <c r="U22" s="87" t="str">
        <f>IF('G2 MT Reading Scoresheet'!U22&lt;&gt;"",'G2 MT Reading Scoresheet'!U22,"")</f>
        <v>Low Emerging Reader</v>
      </c>
      <c r="V22" s="271"/>
      <c r="Y22" s="221" t="e">
        <f t="shared" si="0"/>
        <v>#VALUE!</v>
      </c>
    </row>
    <row r="23" spans="1:25" ht="14.4" x14ac:dyDescent="0.3">
      <c r="A23" s="5">
        <v>13</v>
      </c>
      <c r="B23" s="118">
        <f>IF('G2 MT Reading Scoresheet'!B23&lt;&gt;"",'G2 MT Reading Scoresheet'!B23,"")</f>
        <v>123456789024</v>
      </c>
      <c r="C23" s="133" t="str">
        <f>IF('G2 MT Reading Scoresheet'!C23&lt;&gt;"",'G2 MT Reading Scoresheet'!C23,"")</f>
        <v>Xavier Ramos</v>
      </c>
      <c r="D23" s="134" t="str">
        <f>IF('G2 MT Reading Scoresheet'!D23&lt;&gt;"",'G2 MT Reading Scoresheet'!D23,"")</f>
        <v>Male</v>
      </c>
      <c r="E23" s="135">
        <f>IF('G2 MT Reading Scoresheet'!E23&lt;&gt;"",'G2 MT Reading Scoresheet'!E23,"")</f>
        <v>45833</v>
      </c>
      <c r="F23" s="272">
        <f>IF('G2 MT Reading Scoresheet'!F23&lt;&gt;"",'G2 MT Reading Scoresheet'!F23,"")</f>
        <v>8</v>
      </c>
      <c r="G23" s="262" t="str">
        <f>IF('G2 MT Reading Scoresheet'!G23&lt;&gt;"",'G2 MT Reading Scoresheet'!G23,"")</f>
        <v/>
      </c>
      <c r="H23" s="273">
        <f>IF('G2 MT Reading Scoresheet'!H23&lt;&gt;"",'G2 MT Reading Scoresheet'!H23,"")</f>
        <v>7</v>
      </c>
      <c r="I23" s="81">
        <f>IF('G2 MT Reading Scoresheet'!I23&lt;&gt;"",'G2 MT Reading Scoresheet'!I23,"")</f>
        <v>25</v>
      </c>
      <c r="J23" s="82" t="str">
        <f>IF('G2 MT Reading Scoresheet'!J23&lt;&gt;"",'G2 MT Reading Scoresheet'!J23,"")</f>
        <v>Light Refresher</v>
      </c>
      <c r="K23" s="274">
        <f>IF('G2 MT Reading Scoresheet'!K23&lt;&gt;"",'G2 MT Reading Scoresheet'!K23,"")</f>
        <v>2</v>
      </c>
      <c r="L23" s="275">
        <f>IF('G2 MT Reading Scoresheet'!L23&lt;&gt;"",'G2 MT Reading Scoresheet'!L23,"")</f>
        <v>21</v>
      </c>
      <c r="M23" s="118">
        <f>IF('G2 MT Reading Scoresheet'!M23&lt;&gt;"",'G2 MT Reading Scoresheet'!M23,"")</f>
        <v>74</v>
      </c>
      <c r="N23" s="273">
        <f>IF('G2 MT Reading Scoresheet'!N23&lt;&gt;"",'G2 MT Reading Scoresheet'!N23,"")</f>
        <v>2</v>
      </c>
      <c r="O23" s="273">
        <f>IF('G2 MT Reading Scoresheet'!O23&lt;&gt;"",'G2 MT Reading Scoresheet'!O23,"")</f>
        <v>0</v>
      </c>
      <c r="P23" s="118">
        <f>IF('G2 MT Reading Scoresheet'!P23&lt;&gt;"",'G2 MT Reading Scoresheet'!P23,"")</f>
        <v>37</v>
      </c>
      <c r="Q23" s="122">
        <f>IF('G2 MT Reading Scoresheet'!Q23&lt;&gt;"",'G2 MT Reading Scoresheet'!Q23,"")</f>
        <v>0.77894736842105261</v>
      </c>
      <c r="R23" s="273">
        <f>IF('G2 MT Reading Scoresheet'!R23&lt;&gt;"",'G2 MT Reading Scoresheet'!R23,"")</f>
        <v>1</v>
      </c>
      <c r="S23" s="273">
        <f>IF('G2 MT Reading Scoresheet'!S23&lt;&gt;"",'G2 MT Reading Scoresheet'!S23,"")</f>
        <v>2</v>
      </c>
      <c r="T23" s="276" t="str">
        <f>IF('G2 MT Reading Scoresheet'!T23&lt;&gt;"",'G2 MT Reading Scoresheet'!T23,"")</f>
        <v>Level 1</v>
      </c>
      <c r="U23" s="87" t="str">
        <f>IF('G2 MT Reading Scoresheet'!U23&lt;&gt;"",'G2 MT Reading Scoresheet'!U23,"")</f>
        <v>Transitioning Reader</v>
      </c>
      <c r="V23" s="277"/>
      <c r="Y23" s="221">
        <f t="shared" si="0"/>
        <v>0.16666666666666666</v>
      </c>
    </row>
    <row r="24" spans="1:25" ht="14.4" x14ac:dyDescent="0.3">
      <c r="A24" s="4">
        <v>14</v>
      </c>
      <c r="B24" s="118">
        <f>IF('G2 MT Reading Scoresheet'!B24&lt;&gt;"",'G2 MT Reading Scoresheet'!B24,"")</f>
        <v>123456789025</v>
      </c>
      <c r="C24" s="133" t="str">
        <f>IF('G2 MT Reading Scoresheet'!C24&lt;&gt;"",'G2 MT Reading Scoresheet'!C24,"")</f>
        <v>Sophia Garcia</v>
      </c>
      <c r="D24" s="134" t="str">
        <f>IF('G2 MT Reading Scoresheet'!D24&lt;&gt;"",'G2 MT Reading Scoresheet'!D24,"")</f>
        <v>Female</v>
      </c>
      <c r="E24" s="135">
        <f>IF('G2 MT Reading Scoresheet'!E24&lt;&gt;"",'G2 MT Reading Scoresheet'!E24,"")</f>
        <v>45835</v>
      </c>
      <c r="F24" s="268">
        <f>IF('G2 MT Reading Scoresheet'!F24&lt;&gt;"",'G2 MT Reading Scoresheet'!F24,"")</f>
        <v>0</v>
      </c>
      <c r="G24" s="269">
        <f>IF('G2 MT Reading Scoresheet'!G24&lt;&gt;"",'G2 MT Reading Scoresheet'!G24,"")</f>
        <v>0</v>
      </c>
      <c r="H24" s="81">
        <f>IF('G2 MT Reading Scoresheet'!H24&lt;&gt;"",'G2 MT Reading Scoresheet'!H24,"")</f>
        <v>10</v>
      </c>
      <c r="I24" s="81">
        <f>IF('G2 MT Reading Scoresheet'!I24&lt;&gt;"",'G2 MT Reading Scoresheet'!I24,"")</f>
        <v>0</v>
      </c>
      <c r="J24" s="82" t="str">
        <f>IF('G2 MT Reading Scoresheet'!J24&lt;&gt;"",'G2 MT Reading Scoresheet'!J24,"")</f>
        <v>Full Refresher</v>
      </c>
      <c r="K24" s="270" t="str">
        <f>IF('G2 MT Reading Scoresheet'!K24&lt;&gt;"",'G2 MT Reading Scoresheet'!K24,"")</f>
        <v/>
      </c>
      <c r="L24" s="87" t="str">
        <f>IF('G2 MT Reading Scoresheet'!L24&lt;&gt;"",'G2 MT Reading Scoresheet'!L24,"")</f>
        <v/>
      </c>
      <c r="M24" s="118" t="str">
        <f>IF('G2 MT Reading Scoresheet'!M24&lt;&gt;"",'G2 MT Reading Scoresheet'!M24,"")</f>
        <v/>
      </c>
      <c r="N24" s="81" t="str">
        <f>IF('G2 MT Reading Scoresheet'!N24&lt;&gt;"",'G2 MT Reading Scoresheet'!N24,"")</f>
        <v/>
      </c>
      <c r="O24" s="81" t="str">
        <f>IF('G2 MT Reading Scoresheet'!O24&lt;&gt;"",'G2 MT Reading Scoresheet'!O24,"")</f>
        <v/>
      </c>
      <c r="P24" s="118" t="str">
        <f>IF('G2 MT Reading Scoresheet'!P24&lt;&gt;"",'G2 MT Reading Scoresheet'!P24,"")</f>
        <v/>
      </c>
      <c r="Q24" s="122" t="str">
        <f>IF('G2 MT Reading Scoresheet'!Q24&lt;&gt;"",'G2 MT Reading Scoresheet'!Q24,"")</f>
        <v/>
      </c>
      <c r="R24" s="81" t="str">
        <f>IF('G2 MT Reading Scoresheet'!R24&lt;&gt;"",'G2 MT Reading Scoresheet'!R24,"")</f>
        <v/>
      </c>
      <c r="S24" s="81" t="str">
        <f>IF('G2 MT Reading Scoresheet'!S24&lt;&gt;"",'G2 MT Reading Scoresheet'!S24,"")</f>
        <v/>
      </c>
      <c r="T24" s="82" t="str">
        <f>IF('G2 MT Reading Scoresheet'!T24&lt;&gt;"",'G2 MT Reading Scoresheet'!T24,"")</f>
        <v/>
      </c>
      <c r="U24" s="87" t="str">
        <f>IF('G2 MT Reading Scoresheet'!U24&lt;&gt;"",'G2 MT Reading Scoresheet'!U24,"")</f>
        <v>Low Emerging Reader</v>
      </c>
      <c r="V24" s="271"/>
      <c r="Y24" s="221" t="e">
        <f t="shared" si="0"/>
        <v>#VALUE!</v>
      </c>
    </row>
    <row r="25" spans="1:25" ht="14.4" x14ac:dyDescent="0.3">
      <c r="A25" s="5">
        <v>15</v>
      </c>
      <c r="B25" s="118">
        <f>IF('G2 MT Reading Scoresheet'!B25&lt;&gt;"",'G2 MT Reading Scoresheet'!B25,"")</f>
        <v>123456789026</v>
      </c>
      <c r="C25" s="133" t="str">
        <f>IF('G2 MT Reading Scoresheet'!C25&lt;&gt;"",'G2 MT Reading Scoresheet'!C25,"")</f>
        <v>Isabella Torres</v>
      </c>
      <c r="D25" s="134" t="str">
        <f>IF('G2 MT Reading Scoresheet'!D25&lt;&gt;"",'G2 MT Reading Scoresheet'!D25,"")</f>
        <v>Female</v>
      </c>
      <c r="E25" s="135">
        <f>IF('G2 MT Reading Scoresheet'!E25&lt;&gt;"",'G2 MT Reading Scoresheet'!E25,"")</f>
        <v>45833</v>
      </c>
      <c r="F25" s="272">
        <f>IF('G2 MT Reading Scoresheet'!F25&lt;&gt;"",'G2 MT Reading Scoresheet'!F25,"")</f>
        <v>0</v>
      </c>
      <c r="G25" s="262">
        <f>IF('G2 MT Reading Scoresheet'!G25&lt;&gt;"",'G2 MT Reading Scoresheet'!G25,"")</f>
        <v>0</v>
      </c>
      <c r="H25" s="273" t="str">
        <f>IF('G2 MT Reading Scoresheet'!H25&lt;&gt;"",'G2 MT Reading Scoresheet'!H25,"")</f>
        <v/>
      </c>
      <c r="I25" s="81">
        <f>IF('G2 MT Reading Scoresheet'!I25&lt;&gt;"",'G2 MT Reading Scoresheet'!I25,"")</f>
        <v>0</v>
      </c>
      <c r="J25" s="82" t="str">
        <f>IF('G2 MT Reading Scoresheet'!J25&lt;&gt;"",'G2 MT Reading Scoresheet'!J25,"")</f>
        <v>Full Refresher</v>
      </c>
      <c r="K25" s="274" t="str">
        <f>IF('G2 MT Reading Scoresheet'!K25&lt;&gt;"",'G2 MT Reading Scoresheet'!K25,"")</f>
        <v/>
      </c>
      <c r="L25" s="275" t="str">
        <f>IF('G2 MT Reading Scoresheet'!L25&lt;&gt;"",'G2 MT Reading Scoresheet'!L25,"")</f>
        <v/>
      </c>
      <c r="M25" s="118" t="str">
        <f>IF('G2 MT Reading Scoresheet'!M25&lt;&gt;"",'G2 MT Reading Scoresheet'!M25,"")</f>
        <v/>
      </c>
      <c r="N25" s="273" t="str">
        <f>IF('G2 MT Reading Scoresheet'!N25&lt;&gt;"",'G2 MT Reading Scoresheet'!N25,"")</f>
        <v/>
      </c>
      <c r="O25" s="273" t="str">
        <f>IF('G2 MT Reading Scoresheet'!O25&lt;&gt;"",'G2 MT Reading Scoresheet'!O25,"")</f>
        <v/>
      </c>
      <c r="P25" s="118" t="str">
        <f>IF('G2 MT Reading Scoresheet'!P25&lt;&gt;"",'G2 MT Reading Scoresheet'!P25,"")</f>
        <v/>
      </c>
      <c r="Q25" s="122" t="str">
        <f>IF('G2 MT Reading Scoresheet'!Q25&lt;&gt;"",'G2 MT Reading Scoresheet'!Q25,"")</f>
        <v/>
      </c>
      <c r="R25" s="273" t="str">
        <f>IF('G2 MT Reading Scoresheet'!R25&lt;&gt;"",'G2 MT Reading Scoresheet'!R25,"")</f>
        <v/>
      </c>
      <c r="S25" s="273" t="str">
        <f>IF('G2 MT Reading Scoresheet'!S25&lt;&gt;"",'G2 MT Reading Scoresheet'!S25,"")</f>
        <v/>
      </c>
      <c r="T25" s="276" t="str">
        <f>IF('G2 MT Reading Scoresheet'!T25&lt;&gt;"",'G2 MT Reading Scoresheet'!T25,"")</f>
        <v/>
      </c>
      <c r="U25" s="87" t="str">
        <f>IF('G2 MT Reading Scoresheet'!U25&lt;&gt;"",'G2 MT Reading Scoresheet'!U25,"")</f>
        <v>Low Emerging Reader</v>
      </c>
      <c r="V25" s="277"/>
      <c r="Y25" s="221" t="e">
        <f t="shared" si="0"/>
        <v>#VALUE!</v>
      </c>
    </row>
    <row r="26" spans="1:25" ht="14.4" x14ac:dyDescent="0.3">
      <c r="A26" s="4">
        <v>16</v>
      </c>
      <c r="B26" s="118">
        <f>IF('G2 MT Reading Scoresheet'!B26&lt;&gt;"",'G2 MT Reading Scoresheet'!B26,"")</f>
        <v>123456789027</v>
      </c>
      <c r="C26" s="133" t="str">
        <f>IF('G2 MT Reading Scoresheet'!C26&lt;&gt;"",'G2 MT Reading Scoresheet'!C26,"")</f>
        <v>Mia Fernandez</v>
      </c>
      <c r="D26" s="134" t="str">
        <f>IF('G2 MT Reading Scoresheet'!D26&lt;&gt;"",'G2 MT Reading Scoresheet'!D26,"")</f>
        <v>Female</v>
      </c>
      <c r="E26" s="135">
        <f>IF('G2 MT Reading Scoresheet'!E26&lt;&gt;"",'G2 MT Reading Scoresheet'!E26,"")</f>
        <v>45834</v>
      </c>
      <c r="F26" s="268">
        <f>IF('G2 MT Reading Scoresheet'!F26&lt;&gt;"",'G2 MT Reading Scoresheet'!F26,"")</f>
        <v>9</v>
      </c>
      <c r="G26" s="269" t="str">
        <f>IF('G2 MT Reading Scoresheet'!G26&lt;&gt;"",'G2 MT Reading Scoresheet'!G26,"")</f>
        <v/>
      </c>
      <c r="H26" s="81">
        <f>IF('G2 MT Reading Scoresheet'!H26&lt;&gt;"",'G2 MT Reading Scoresheet'!H26,"")</f>
        <v>9</v>
      </c>
      <c r="I26" s="81">
        <f>IF('G2 MT Reading Scoresheet'!I26&lt;&gt;"",'G2 MT Reading Scoresheet'!I26,"")</f>
        <v>28</v>
      </c>
      <c r="J26" s="82" t="str">
        <f>IF('G2 MT Reading Scoresheet'!J26&lt;&gt;"",'G2 MT Reading Scoresheet'!J26,"")</f>
        <v>Grade Ready</v>
      </c>
      <c r="K26" s="270">
        <f>IF('G2 MT Reading Scoresheet'!K26&lt;&gt;"",'G2 MT Reading Scoresheet'!K26,"")</f>
        <v>2</v>
      </c>
      <c r="L26" s="87">
        <f>IF('G2 MT Reading Scoresheet'!L26&lt;&gt;"",'G2 MT Reading Scoresheet'!L26,"")</f>
        <v>0</v>
      </c>
      <c r="M26" s="118">
        <f>IF('G2 MT Reading Scoresheet'!M26&lt;&gt;"",'G2 MT Reading Scoresheet'!M26,"")</f>
        <v>95</v>
      </c>
      <c r="N26" s="81">
        <f>IF('G2 MT Reading Scoresheet'!N26&lt;&gt;"",'G2 MT Reading Scoresheet'!N26,"")</f>
        <v>2</v>
      </c>
      <c r="O26" s="81">
        <f>IF('G2 MT Reading Scoresheet'!O26&lt;&gt;"",'G2 MT Reading Scoresheet'!O26,"")</f>
        <v>0</v>
      </c>
      <c r="P26" s="118">
        <f>IF('G2 MT Reading Scoresheet'!P26&lt;&gt;"",'G2 MT Reading Scoresheet'!P26,"")</f>
        <v>47.5</v>
      </c>
      <c r="Q26" s="122">
        <f>IF('G2 MT Reading Scoresheet'!Q26&lt;&gt;"",'G2 MT Reading Scoresheet'!Q26,"")</f>
        <v>1</v>
      </c>
      <c r="R26" s="81">
        <f>IF('G2 MT Reading Scoresheet'!R26&lt;&gt;"",'G2 MT Reading Scoresheet'!R26,"")</f>
        <v>4</v>
      </c>
      <c r="S26" s="81">
        <f>IF('G2 MT Reading Scoresheet'!S26&lt;&gt;"",'G2 MT Reading Scoresheet'!S26,"")</f>
        <v>3</v>
      </c>
      <c r="T26" s="82" t="str">
        <f>IF('G2 MT Reading Scoresheet'!T26&lt;&gt;"",'G2 MT Reading Scoresheet'!T26,"")</f>
        <v>Level 3</v>
      </c>
      <c r="U26" s="87" t="str">
        <f>IF('G2 MT Reading Scoresheet'!U26&lt;&gt;"",'G2 MT Reading Scoresheet'!U26,"")</f>
        <v>Transitioning Reader</v>
      </c>
      <c r="V26" s="271"/>
      <c r="Y26" s="221">
        <f t="shared" si="0"/>
        <v>0.66666666666666663</v>
      </c>
    </row>
    <row r="27" spans="1:25" ht="14.4" x14ac:dyDescent="0.3">
      <c r="A27" s="5">
        <v>17</v>
      </c>
      <c r="B27" s="118">
        <f>IF('G2 MT Reading Scoresheet'!B27&lt;&gt;"",'G2 MT Reading Scoresheet'!B27,"")</f>
        <v>123456789028</v>
      </c>
      <c r="C27" s="133" t="str">
        <f>IF('G2 MT Reading Scoresheet'!C27&lt;&gt;"",'G2 MT Reading Scoresheet'!C27,"")</f>
        <v>Olivia Rivera</v>
      </c>
      <c r="D27" s="134" t="str">
        <f>IF('G2 MT Reading Scoresheet'!D27&lt;&gt;"",'G2 MT Reading Scoresheet'!D27,"")</f>
        <v>Female</v>
      </c>
      <c r="E27" s="135">
        <f>IF('G2 MT Reading Scoresheet'!E27&lt;&gt;"",'G2 MT Reading Scoresheet'!E27,"")</f>
        <v>45834</v>
      </c>
      <c r="F27" s="272">
        <f>IF('G2 MT Reading Scoresheet'!F27&lt;&gt;"",'G2 MT Reading Scoresheet'!F27,"")</f>
        <v>0</v>
      </c>
      <c r="G27" s="262">
        <f>IF('G2 MT Reading Scoresheet'!G27&lt;&gt;"",'G2 MT Reading Scoresheet'!G27,"")</f>
        <v>0</v>
      </c>
      <c r="H27" s="273">
        <f>IF('G2 MT Reading Scoresheet'!H27&lt;&gt;"",'G2 MT Reading Scoresheet'!H27,"")</f>
        <v>10</v>
      </c>
      <c r="I27" s="81">
        <f>IF('G2 MT Reading Scoresheet'!I27&lt;&gt;"",'G2 MT Reading Scoresheet'!I27,"")</f>
        <v>0</v>
      </c>
      <c r="J27" s="82" t="str">
        <f>IF('G2 MT Reading Scoresheet'!J27&lt;&gt;"",'G2 MT Reading Scoresheet'!J27,"")</f>
        <v>Full Refresher</v>
      </c>
      <c r="K27" s="274" t="str">
        <f>IF('G2 MT Reading Scoresheet'!K27&lt;&gt;"",'G2 MT Reading Scoresheet'!K27,"")</f>
        <v/>
      </c>
      <c r="L27" s="275" t="str">
        <f>IF('G2 MT Reading Scoresheet'!L27&lt;&gt;"",'G2 MT Reading Scoresheet'!L27,"")</f>
        <v/>
      </c>
      <c r="M27" s="118" t="str">
        <f>IF('G2 MT Reading Scoresheet'!M27&lt;&gt;"",'G2 MT Reading Scoresheet'!M27,"")</f>
        <v/>
      </c>
      <c r="N27" s="273" t="str">
        <f>IF('G2 MT Reading Scoresheet'!N27&lt;&gt;"",'G2 MT Reading Scoresheet'!N27,"")</f>
        <v/>
      </c>
      <c r="O27" s="273" t="str">
        <f>IF('G2 MT Reading Scoresheet'!O27&lt;&gt;"",'G2 MT Reading Scoresheet'!O27,"")</f>
        <v/>
      </c>
      <c r="P27" s="118" t="str">
        <f>IF('G2 MT Reading Scoresheet'!P27&lt;&gt;"",'G2 MT Reading Scoresheet'!P27,"")</f>
        <v/>
      </c>
      <c r="Q27" s="122" t="str">
        <f>IF('G2 MT Reading Scoresheet'!Q27&lt;&gt;"",'G2 MT Reading Scoresheet'!Q27,"")</f>
        <v/>
      </c>
      <c r="R27" s="273" t="str">
        <f>IF('G2 MT Reading Scoresheet'!R27&lt;&gt;"",'G2 MT Reading Scoresheet'!R27,"")</f>
        <v/>
      </c>
      <c r="S27" s="273" t="str">
        <f>IF('G2 MT Reading Scoresheet'!S27&lt;&gt;"",'G2 MT Reading Scoresheet'!S27,"")</f>
        <v/>
      </c>
      <c r="T27" s="276" t="str">
        <f>IF('G2 MT Reading Scoresheet'!T27&lt;&gt;"",'G2 MT Reading Scoresheet'!T27,"")</f>
        <v/>
      </c>
      <c r="U27" s="87" t="str">
        <f>IF('G2 MT Reading Scoresheet'!U27&lt;&gt;"",'G2 MT Reading Scoresheet'!U27,"")</f>
        <v>Low Emerging Reader</v>
      </c>
      <c r="V27" s="277"/>
      <c r="Y27" s="221" t="e">
        <f t="shared" si="0"/>
        <v>#VALUE!</v>
      </c>
    </row>
    <row r="28" spans="1:25" ht="14.4" x14ac:dyDescent="0.3">
      <c r="A28" s="4">
        <v>18</v>
      </c>
      <c r="B28" s="118">
        <f>IF('G2 MT Reading Scoresheet'!B28&lt;&gt;"",'G2 MT Reading Scoresheet'!B28,"")</f>
        <v>123456789029</v>
      </c>
      <c r="C28" s="133" t="str">
        <f>IF('G2 MT Reading Scoresheet'!C28&lt;&gt;"",'G2 MT Reading Scoresheet'!C28,"")</f>
        <v>Chloe Morales</v>
      </c>
      <c r="D28" s="134" t="str">
        <f>IF('G2 MT Reading Scoresheet'!D28&lt;&gt;"",'G2 MT Reading Scoresheet'!D28,"")</f>
        <v>Female</v>
      </c>
      <c r="E28" s="135">
        <f>IF('G2 MT Reading Scoresheet'!E28&lt;&gt;"",'G2 MT Reading Scoresheet'!E28,"")</f>
        <v>45834</v>
      </c>
      <c r="F28" s="268">
        <f>IF('G2 MT Reading Scoresheet'!F28&lt;&gt;"",'G2 MT Reading Scoresheet'!F28,"")</f>
        <v>9</v>
      </c>
      <c r="G28" s="269" t="str">
        <f>IF('G2 MT Reading Scoresheet'!G28&lt;&gt;"",'G2 MT Reading Scoresheet'!G28,"")</f>
        <v/>
      </c>
      <c r="H28" s="81">
        <f>IF('G2 MT Reading Scoresheet'!H28&lt;&gt;"",'G2 MT Reading Scoresheet'!H28,"")</f>
        <v>9</v>
      </c>
      <c r="I28" s="81">
        <f>IF('G2 MT Reading Scoresheet'!I28&lt;&gt;"",'G2 MT Reading Scoresheet'!I28,"")</f>
        <v>28</v>
      </c>
      <c r="J28" s="82" t="str">
        <f>IF('G2 MT Reading Scoresheet'!J28&lt;&gt;"",'G2 MT Reading Scoresheet'!J28,"")</f>
        <v>Grade Ready</v>
      </c>
      <c r="K28" s="270">
        <f>IF('G2 MT Reading Scoresheet'!K28&lt;&gt;"",'G2 MT Reading Scoresheet'!K28,"")</f>
        <v>2</v>
      </c>
      <c r="L28" s="87">
        <f>IF('G2 MT Reading Scoresheet'!L28&lt;&gt;"",'G2 MT Reading Scoresheet'!L28,"")</f>
        <v>0</v>
      </c>
      <c r="M28" s="118">
        <f>IF('G2 MT Reading Scoresheet'!M28&lt;&gt;"",'G2 MT Reading Scoresheet'!M28,"")</f>
        <v>95</v>
      </c>
      <c r="N28" s="81">
        <f>IF('G2 MT Reading Scoresheet'!N28&lt;&gt;"",'G2 MT Reading Scoresheet'!N28,"")</f>
        <v>2</v>
      </c>
      <c r="O28" s="81">
        <f>IF('G2 MT Reading Scoresheet'!O28&lt;&gt;"",'G2 MT Reading Scoresheet'!O28,"")</f>
        <v>0</v>
      </c>
      <c r="P28" s="118">
        <f>IF('G2 MT Reading Scoresheet'!P28&lt;&gt;"",'G2 MT Reading Scoresheet'!P28,"")</f>
        <v>47.5</v>
      </c>
      <c r="Q28" s="122">
        <f>IF('G2 MT Reading Scoresheet'!Q28&lt;&gt;"",'G2 MT Reading Scoresheet'!Q28,"")</f>
        <v>1</v>
      </c>
      <c r="R28" s="81">
        <f>IF('G2 MT Reading Scoresheet'!R28&lt;&gt;"",'G2 MT Reading Scoresheet'!R28,"")</f>
        <v>1</v>
      </c>
      <c r="S28" s="81">
        <f>IF('G2 MT Reading Scoresheet'!S28&lt;&gt;"",'G2 MT Reading Scoresheet'!S28,"")</f>
        <v>3</v>
      </c>
      <c r="T28" s="82" t="str">
        <f>IF('G2 MT Reading Scoresheet'!T28&lt;&gt;"",'G2 MT Reading Scoresheet'!T28,"")</f>
        <v>Level 2</v>
      </c>
      <c r="U28" s="87" t="str">
        <f>IF('G2 MT Reading Scoresheet'!U28&lt;&gt;"",'G2 MT Reading Scoresheet'!U28,"")</f>
        <v>Transitioning Reader</v>
      </c>
      <c r="V28" s="271"/>
      <c r="Y28" s="221">
        <f t="shared" si="0"/>
        <v>0.16666666666666666</v>
      </c>
    </row>
    <row r="29" spans="1:25" ht="14.4" x14ac:dyDescent="0.3">
      <c r="A29" s="5">
        <v>19</v>
      </c>
      <c r="B29" s="118">
        <f>IF('G2 MT Reading Scoresheet'!B29&lt;&gt;"",'G2 MT Reading Scoresheet'!B29,"")</f>
        <v>123456789030</v>
      </c>
      <c r="C29" s="133" t="str">
        <f>IF('G2 MT Reading Scoresheet'!C29&lt;&gt;"",'G2 MT Reading Scoresheet'!C29,"")</f>
        <v>Gabriela Herrera</v>
      </c>
      <c r="D29" s="134" t="str">
        <f>IF('G2 MT Reading Scoresheet'!D29&lt;&gt;"",'G2 MT Reading Scoresheet'!D29,"")</f>
        <v>Female</v>
      </c>
      <c r="E29" s="135">
        <f>IF('G2 MT Reading Scoresheet'!E29&lt;&gt;"",'G2 MT Reading Scoresheet'!E29,"")</f>
        <v>45833</v>
      </c>
      <c r="F29" s="272">
        <f>IF('G2 MT Reading Scoresheet'!F29&lt;&gt;"",'G2 MT Reading Scoresheet'!F29,"")</f>
        <v>10</v>
      </c>
      <c r="G29" s="262" t="str">
        <f>IF('G2 MT Reading Scoresheet'!G29&lt;&gt;"",'G2 MT Reading Scoresheet'!G29,"")</f>
        <v/>
      </c>
      <c r="H29" s="273">
        <f>IF('G2 MT Reading Scoresheet'!H29&lt;&gt;"",'G2 MT Reading Scoresheet'!H29,"")</f>
        <v>10</v>
      </c>
      <c r="I29" s="81">
        <f>IF('G2 MT Reading Scoresheet'!I29&lt;&gt;"",'G2 MT Reading Scoresheet'!I29,"")</f>
        <v>30</v>
      </c>
      <c r="J29" s="82" t="str">
        <f>IF('G2 MT Reading Scoresheet'!J29&lt;&gt;"",'G2 MT Reading Scoresheet'!J29,"")</f>
        <v>Grade Ready</v>
      </c>
      <c r="K29" s="274">
        <f>IF('G2 MT Reading Scoresheet'!K29&lt;&gt;"",'G2 MT Reading Scoresheet'!K29,"")</f>
        <v>2</v>
      </c>
      <c r="L29" s="275">
        <f>IF('G2 MT Reading Scoresheet'!L29&lt;&gt;"",'G2 MT Reading Scoresheet'!L29,"")</f>
        <v>0</v>
      </c>
      <c r="M29" s="118">
        <f>IF('G2 MT Reading Scoresheet'!M29&lt;&gt;"",'G2 MT Reading Scoresheet'!M29,"")</f>
        <v>95</v>
      </c>
      <c r="N29" s="273">
        <f>IF('G2 MT Reading Scoresheet'!N29&lt;&gt;"",'G2 MT Reading Scoresheet'!N29,"")</f>
        <v>2</v>
      </c>
      <c r="O29" s="273">
        <f>IF('G2 MT Reading Scoresheet'!O29&lt;&gt;"",'G2 MT Reading Scoresheet'!O29,"")</f>
        <v>0</v>
      </c>
      <c r="P29" s="118">
        <f>IF('G2 MT Reading Scoresheet'!P29&lt;&gt;"",'G2 MT Reading Scoresheet'!P29,"")</f>
        <v>47.5</v>
      </c>
      <c r="Q29" s="122">
        <f>IF('G2 MT Reading Scoresheet'!Q29&lt;&gt;"",'G2 MT Reading Scoresheet'!Q29,"")</f>
        <v>1</v>
      </c>
      <c r="R29" s="273">
        <f>IF('G2 MT Reading Scoresheet'!R29&lt;&gt;"",'G2 MT Reading Scoresheet'!R29,"")</f>
        <v>4</v>
      </c>
      <c r="S29" s="273">
        <f>IF('G2 MT Reading Scoresheet'!S29&lt;&gt;"",'G2 MT Reading Scoresheet'!S29,"")</f>
        <v>3</v>
      </c>
      <c r="T29" s="276" t="str">
        <f>IF('G2 MT Reading Scoresheet'!T29&lt;&gt;"",'G2 MT Reading Scoresheet'!T29,"")</f>
        <v>Level 2</v>
      </c>
      <c r="U29" s="87" t="str">
        <f>IF('G2 MT Reading Scoresheet'!U29&lt;&gt;"",'G2 MT Reading Scoresheet'!U29,"")</f>
        <v>Transitioning Reader</v>
      </c>
      <c r="V29" s="277"/>
      <c r="Y29" s="221">
        <f t="shared" si="0"/>
        <v>0.66666666666666663</v>
      </c>
    </row>
    <row r="30" spans="1:25" ht="14.4" x14ac:dyDescent="0.3">
      <c r="A30" s="4">
        <v>20</v>
      </c>
      <c r="B30" s="118">
        <f>IF('G2 MT Reading Scoresheet'!B30&lt;&gt;"",'G2 MT Reading Scoresheet'!B30,"")</f>
        <v>123456789031</v>
      </c>
      <c r="C30" s="133" t="str">
        <f>IF('G2 MT Reading Scoresheet'!C30&lt;&gt;"",'G2 MT Reading Scoresheet'!C30,"")</f>
        <v>Hannah Gutierrez</v>
      </c>
      <c r="D30" s="134" t="str">
        <f>IF('G2 MT Reading Scoresheet'!D30&lt;&gt;"",'G2 MT Reading Scoresheet'!D30,"")</f>
        <v>Female</v>
      </c>
      <c r="E30" s="135">
        <f>IF('G2 MT Reading Scoresheet'!E30&lt;&gt;"",'G2 MT Reading Scoresheet'!E30,"")</f>
        <v>45835</v>
      </c>
      <c r="F30" s="268">
        <f>IF('G2 MT Reading Scoresheet'!F30&lt;&gt;"",'G2 MT Reading Scoresheet'!F30,"")</f>
        <v>10</v>
      </c>
      <c r="G30" s="269" t="str">
        <f>IF('G2 MT Reading Scoresheet'!G30&lt;&gt;"",'G2 MT Reading Scoresheet'!G30,"")</f>
        <v/>
      </c>
      <c r="H30" s="81">
        <f>IF('G2 MT Reading Scoresheet'!H30&lt;&gt;"",'G2 MT Reading Scoresheet'!H30,"")</f>
        <v>10</v>
      </c>
      <c r="I30" s="81">
        <f>IF('G2 MT Reading Scoresheet'!I30&lt;&gt;"",'G2 MT Reading Scoresheet'!I30,"")</f>
        <v>30</v>
      </c>
      <c r="J30" s="82" t="str">
        <f>IF('G2 MT Reading Scoresheet'!J30&lt;&gt;"",'G2 MT Reading Scoresheet'!J30,"")</f>
        <v>Grade Ready</v>
      </c>
      <c r="K30" s="270">
        <f>IF('G2 MT Reading Scoresheet'!K30&lt;&gt;"",'G2 MT Reading Scoresheet'!K30,"")</f>
        <v>2</v>
      </c>
      <c r="L30" s="87">
        <f>IF('G2 MT Reading Scoresheet'!L30&lt;&gt;"",'G2 MT Reading Scoresheet'!L30,"")</f>
        <v>0</v>
      </c>
      <c r="M30" s="118">
        <f>IF('G2 MT Reading Scoresheet'!M30&lt;&gt;"",'G2 MT Reading Scoresheet'!M30,"")</f>
        <v>95</v>
      </c>
      <c r="N30" s="81">
        <f>IF('G2 MT Reading Scoresheet'!N30&lt;&gt;"",'G2 MT Reading Scoresheet'!N30,"")</f>
        <v>2</v>
      </c>
      <c r="O30" s="81">
        <f>IF('G2 MT Reading Scoresheet'!O30&lt;&gt;"",'G2 MT Reading Scoresheet'!O30,"")</f>
        <v>0</v>
      </c>
      <c r="P30" s="118">
        <f>IF('G2 MT Reading Scoresheet'!P30&lt;&gt;"",'G2 MT Reading Scoresheet'!P30,"")</f>
        <v>47.5</v>
      </c>
      <c r="Q30" s="122">
        <f>IF('G2 MT Reading Scoresheet'!Q30&lt;&gt;"",'G2 MT Reading Scoresheet'!Q30,"")</f>
        <v>1</v>
      </c>
      <c r="R30" s="81">
        <f>IF('G2 MT Reading Scoresheet'!R30&lt;&gt;"",'G2 MT Reading Scoresheet'!R30,"")</f>
        <v>2</v>
      </c>
      <c r="S30" s="81">
        <f>IF('G2 MT Reading Scoresheet'!S30&lt;&gt;"",'G2 MT Reading Scoresheet'!S30,"")</f>
        <v>3</v>
      </c>
      <c r="T30" s="82" t="str">
        <f>IF('G2 MT Reading Scoresheet'!T30&lt;&gt;"",'G2 MT Reading Scoresheet'!T30,"")</f>
        <v>Level 3</v>
      </c>
      <c r="U30" s="87" t="str">
        <f>IF('G2 MT Reading Scoresheet'!U30&lt;&gt;"",'G2 MT Reading Scoresheet'!U30,"")</f>
        <v>Transitioning Reader</v>
      </c>
      <c r="V30" s="271"/>
      <c r="Y30" s="221">
        <f t="shared" si="0"/>
        <v>0.33333333333333331</v>
      </c>
    </row>
    <row r="31" spans="1:25" ht="14.4" x14ac:dyDescent="0.3">
      <c r="A31" s="5">
        <v>21</v>
      </c>
      <c r="B31" s="118">
        <f>IF('G2 MT Reading Scoresheet'!B31&lt;&gt;"",'G2 MT Reading Scoresheet'!B31,"")</f>
        <v>123456789032</v>
      </c>
      <c r="C31" s="133" t="str">
        <f>IF('G2 MT Reading Scoresheet'!C31&lt;&gt;"",'G2 MT Reading Scoresheet'!C31,"")</f>
        <v>Zoe Chavez</v>
      </c>
      <c r="D31" s="134" t="str">
        <f>IF('G2 MT Reading Scoresheet'!D31&lt;&gt;"",'G2 MT Reading Scoresheet'!D31,"")</f>
        <v>Female</v>
      </c>
      <c r="E31" s="135">
        <f>IF('G2 MT Reading Scoresheet'!E31&lt;&gt;"",'G2 MT Reading Scoresheet'!E31,"")</f>
        <v>45835</v>
      </c>
      <c r="F31" s="272">
        <f>IF('G2 MT Reading Scoresheet'!F31&lt;&gt;"",'G2 MT Reading Scoresheet'!F31,"")</f>
        <v>10</v>
      </c>
      <c r="G31" s="262" t="str">
        <f>IF('G2 MT Reading Scoresheet'!G31&lt;&gt;"",'G2 MT Reading Scoresheet'!G31,"")</f>
        <v/>
      </c>
      <c r="H31" s="273">
        <f>IF('G2 MT Reading Scoresheet'!H31&lt;&gt;"",'G2 MT Reading Scoresheet'!H31,"")</f>
        <v>10</v>
      </c>
      <c r="I31" s="81">
        <f>IF('G2 MT Reading Scoresheet'!I31&lt;&gt;"",'G2 MT Reading Scoresheet'!I31,"")</f>
        <v>30</v>
      </c>
      <c r="J31" s="82" t="str">
        <f>IF('G2 MT Reading Scoresheet'!J31&lt;&gt;"",'G2 MT Reading Scoresheet'!J31,"")</f>
        <v>Grade Ready</v>
      </c>
      <c r="K31" s="274">
        <f>IF('G2 MT Reading Scoresheet'!K31&lt;&gt;"",'G2 MT Reading Scoresheet'!K31,"")</f>
        <v>2</v>
      </c>
      <c r="L31" s="275">
        <f>IF('G2 MT Reading Scoresheet'!L31&lt;&gt;"",'G2 MT Reading Scoresheet'!L31,"")</f>
        <v>0</v>
      </c>
      <c r="M31" s="118">
        <f>IF('G2 MT Reading Scoresheet'!M31&lt;&gt;"",'G2 MT Reading Scoresheet'!M31,"")</f>
        <v>95</v>
      </c>
      <c r="N31" s="81">
        <f>IF('G2 MT Reading Scoresheet'!N31&lt;&gt;"",'G2 MT Reading Scoresheet'!N31,"")</f>
        <v>2</v>
      </c>
      <c r="O31" s="273">
        <f>IF('G2 MT Reading Scoresheet'!O31&lt;&gt;"",'G2 MT Reading Scoresheet'!O31,"")</f>
        <v>0</v>
      </c>
      <c r="P31" s="118">
        <f>IF('G2 MT Reading Scoresheet'!P31&lt;&gt;"",'G2 MT Reading Scoresheet'!P31,"")</f>
        <v>47.5</v>
      </c>
      <c r="Q31" s="122">
        <f>IF('G2 MT Reading Scoresheet'!Q31&lt;&gt;"",'G2 MT Reading Scoresheet'!Q31,"")</f>
        <v>1</v>
      </c>
      <c r="R31" s="273">
        <f>IF('G2 MT Reading Scoresheet'!R31&lt;&gt;"",'G2 MT Reading Scoresheet'!R31,"")</f>
        <v>5</v>
      </c>
      <c r="S31" s="273">
        <f>IF('G2 MT Reading Scoresheet'!S31&lt;&gt;"",'G2 MT Reading Scoresheet'!S31,"")</f>
        <v>4</v>
      </c>
      <c r="T31" s="276" t="str">
        <f>IF('G2 MT Reading Scoresheet'!T31&lt;&gt;"",'G2 MT Reading Scoresheet'!T31,"")</f>
        <v>Level 3</v>
      </c>
      <c r="U31" s="87" t="str">
        <f>IF('G2 MT Reading Scoresheet'!U31&lt;&gt;"",'G2 MT Reading Scoresheet'!U31,"")</f>
        <v>Reading At Grade Level</v>
      </c>
      <c r="V31" s="277"/>
      <c r="Y31" s="221">
        <f t="shared" si="0"/>
        <v>0.83333333333333337</v>
      </c>
    </row>
    <row r="32" spans="1:25" ht="14.4" x14ac:dyDescent="0.3">
      <c r="A32" s="4">
        <v>22</v>
      </c>
      <c r="B32" s="118">
        <f>IF('G2 MT Reading Scoresheet'!B32&lt;&gt;"",'G2 MT Reading Scoresheet'!B32,"")</f>
        <v>123456789033</v>
      </c>
      <c r="C32" s="133" t="str">
        <f>IF('G2 MT Reading Scoresheet'!C32&lt;&gt;"",'G2 MT Reading Scoresheet'!C32,"")</f>
        <v>Eliana Salazar</v>
      </c>
      <c r="D32" s="134" t="str">
        <f>IF('G2 MT Reading Scoresheet'!D32&lt;&gt;"",'G2 MT Reading Scoresheet'!D32,"")</f>
        <v>Female</v>
      </c>
      <c r="E32" s="135">
        <f>IF('G2 MT Reading Scoresheet'!E32&lt;&gt;"",'G2 MT Reading Scoresheet'!E32,"")</f>
        <v>45833</v>
      </c>
      <c r="F32" s="268">
        <f>IF('G2 MT Reading Scoresheet'!F32&lt;&gt;"",'G2 MT Reading Scoresheet'!F32,"")</f>
        <v>0</v>
      </c>
      <c r="G32" s="269">
        <f>IF('G2 MT Reading Scoresheet'!G32&lt;&gt;"",'G2 MT Reading Scoresheet'!G32,"")</f>
        <v>0</v>
      </c>
      <c r="H32" s="81">
        <f>IF('G2 MT Reading Scoresheet'!H32&lt;&gt;"",'G2 MT Reading Scoresheet'!H32,"")</f>
        <v>10</v>
      </c>
      <c r="I32" s="81">
        <f>IF('G2 MT Reading Scoresheet'!I32&lt;&gt;"",'G2 MT Reading Scoresheet'!I32,"")</f>
        <v>0</v>
      </c>
      <c r="J32" s="82" t="str">
        <f>IF('G2 MT Reading Scoresheet'!J32&lt;&gt;"",'G2 MT Reading Scoresheet'!J32,"")</f>
        <v>Full Refresher</v>
      </c>
      <c r="K32" s="270" t="str">
        <f>IF('G2 MT Reading Scoresheet'!K32&lt;&gt;"",'G2 MT Reading Scoresheet'!K32,"")</f>
        <v/>
      </c>
      <c r="L32" s="87" t="str">
        <f>IF('G2 MT Reading Scoresheet'!L32&lt;&gt;"",'G2 MT Reading Scoresheet'!L32,"")</f>
        <v/>
      </c>
      <c r="M32" s="118" t="str">
        <f>IF('G2 MT Reading Scoresheet'!M32&lt;&gt;"",'G2 MT Reading Scoresheet'!M32,"")</f>
        <v/>
      </c>
      <c r="N32" s="81" t="str">
        <f>IF('G2 MT Reading Scoresheet'!N32&lt;&gt;"",'G2 MT Reading Scoresheet'!N32,"")</f>
        <v/>
      </c>
      <c r="O32" s="81" t="str">
        <f>IF('G2 MT Reading Scoresheet'!O32&lt;&gt;"",'G2 MT Reading Scoresheet'!O32,"")</f>
        <v/>
      </c>
      <c r="P32" s="118" t="str">
        <f>IF('G2 MT Reading Scoresheet'!P32&lt;&gt;"",'G2 MT Reading Scoresheet'!P32,"")</f>
        <v/>
      </c>
      <c r="Q32" s="122" t="str">
        <f>IF('G2 MT Reading Scoresheet'!Q32&lt;&gt;"",'G2 MT Reading Scoresheet'!Q32,"")</f>
        <v/>
      </c>
      <c r="R32" s="81" t="str">
        <f>IF('G2 MT Reading Scoresheet'!R32&lt;&gt;"",'G2 MT Reading Scoresheet'!R32,"")</f>
        <v/>
      </c>
      <c r="S32" s="81" t="str">
        <f>IF('G2 MT Reading Scoresheet'!S32&lt;&gt;"",'G2 MT Reading Scoresheet'!S32,"")</f>
        <v/>
      </c>
      <c r="T32" s="82" t="str">
        <f>IF('G2 MT Reading Scoresheet'!T32&lt;&gt;"",'G2 MT Reading Scoresheet'!T32,"")</f>
        <v/>
      </c>
      <c r="U32" s="87" t="str">
        <f>IF('G2 MT Reading Scoresheet'!U32&lt;&gt;"",'G2 MT Reading Scoresheet'!U32,"")</f>
        <v>Low Emerging Reader</v>
      </c>
      <c r="V32" s="271"/>
      <c r="Y32" s="221" t="e">
        <f t="shared" si="0"/>
        <v>#VALUE!</v>
      </c>
    </row>
    <row r="33" spans="1:25" ht="14.4" x14ac:dyDescent="0.3">
      <c r="A33" s="5">
        <v>23</v>
      </c>
      <c r="B33" s="118">
        <f>IF('G2 MT Reading Scoresheet'!B33&lt;&gt;"",'G2 MT Reading Scoresheet'!B33,"")</f>
        <v>123456789034</v>
      </c>
      <c r="C33" s="133" t="str">
        <f>IF('G2 MT Reading Scoresheet'!C33&lt;&gt;"",'G2 MT Reading Scoresheet'!C33,"")</f>
        <v>Camille Vargas</v>
      </c>
      <c r="D33" s="134" t="str">
        <f>IF('G2 MT Reading Scoresheet'!D33&lt;&gt;"",'G2 MT Reading Scoresheet'!D33,"")</f>
        <v>Female</v>
      </c>
      <c r="E33" s="135">
        <f>IF('G2 MT Reading Scoresheet'!E33&lt;&gt;"",'G2 MT Reading Scoresheet'!E33,"")</f>
        <v>45833</v>
      </c>
      <c r="F33" s="272">
        <f>IF('G2 MT Reading Scoresheet'!F33&lt;&gt;"",'G2 MT Reading Scoresheet'!F33,"")</f>
        <v>0</v>
      </c>
      <c r="G33" s="262">
        <f>IF('G2 MT Reading Scoresheet'!G33&lt;&gt;"",'G2 MT Reading Scoresheet'!G33,"")</f>
        <v>0</v>
      </c>
      <c r="H33" s="273" t="str">
        <f>IF('G2 MT Reading Scoresheet'!H33&lt;&gt;"",'G2 MT Reading Scoresheet'!H33,"")</f>
        <v/>
      </c>
      <c r="I33" s="81">
        <f>IF('G2 MT Reading Scoresheet'!I33&lt;&gt;"",'G2 MT Reading Scoresheet'!I33,"")</f>
        <v>0</v>
      </c>
      <c r="J33" s="82" t="str">
        <f>IF('G2 MT Reading Scoresheet'!J33&lt;&gt;"",'G2 MT Reading Scoresheet'!J33,"")</f>
        <v>Full Refresher</v>
      </c>
      <c r="K33" s="274" t="str">
        <f>IF('G2 MT Reading Scoresheet'!K33&lt;&gt;"",'G2 MT Reading Scoresheet'!K33,"")</f>
        <v/>
      </c>
      <c r="L33" s="275" t="str">
        <f>IF('G2 MT Reading Scoresheet'!L33&lt;&gt;"",'G2 MT Reading Scoresheet'!L33,"")</f>
        <v/>
      </c>
      <c r="M33" s="118" t="str">
        <f>IF('G2 MT Reading Scoresheet'!M33&lt;&gt;"",'G2 MT Reading Scoresheet'!M33,"")</f>
        <v/>
      </c>
      <c r="N33" s="81" t="str">
        <f>IF('G2 MT Reading Scoresheet'!N33&lt;&gt;"",'G2 MT Reading Scoresheet'!N33,"")</f>
        <v/>
      </c>
      <c r="O33" s="273" t="str">
        <f>IF('G2 MT Reading Scoresheet'!O33&lt;&gt;"",'G2 MT Reading Scoresheet'!O33,"")</f>
        <v/>
      </c>
      <c r="P33" s="118" t="str">
        <f>IF('G2 MT Reading Scoresheet'!P33&lt;&gt;"",'G2 MT Reading Scoresheet'!P33,"")</f>
        <v/>
      </c>
      <c r="Q33" s="122" t="str">
        <f>IF('G2 MT Reading Scoresheet'!Q33&lt;&gt;"",'G2 MT Reading Scoresheet'!Q33,"")</f>
        <v/>
      </c>
      <c r="R33" s="273" t="str">
        <f>IF('G2 MT Reading Scoresheet'!R33&lt;&gt;"",'G2 MT Reading Scoresheet'!R33,"")</f>
        <v/>
      </c>
      <c r="S33" s="273" t="str">
        <f>IF('G2 MT Reading Scoresheet'!S33&lt;&gt;"",'G2 MT Reading Scoresheet'!S33,"")</f>
        <v/>
      </c>
      <c r="T33" s="276" t="str">
        <f>IF('G2 MT Reading Scoresheet'!T33&lt;&gt;"",'G2 MT Reading Scoresheet'!T33,"")</f>
        <v/>
      </c>
      <c r="U33" s="87" t="str">
        <f>IF('G2 MT Reading Scoresheet'!U33&lt;&gt;"",'G2 MT Reading Scoresheet'!U33,"")</f>
        <v>Low Emerging Reader</v>
      </c>
      <c r="V33" s="277"/>
      <c r="Y33" s="221" t="e">
        <f t="shared" si="0"/>
        <v>#VALUE!</v>
      </c>
    </row>
    <row r="34" spans="1:25" ht="14.4" x14ac:dyDescent="0.3">
      <c r="A34" s="4">
        <v>24</v>
      </c>
      <c r="B34" s="118">
        <f>IF('G2 MT Reading Scoresheet'!B34&lt;&gt;"",'G2 MT Reading Scoresheet'!B34,"")</f>
        <v>123456789035</v>
      </c>
      <c r="C34" s="133" t="str">
        <f>IF('G2 MT Reading Scoresheet'!C34&lt;&gt;"",'G2 MT Reading Scoresheet'!C34,"")</f>
        <v>Aria Lozano</v>
      </c>
      <c r="D34" s="134" t="str">
        <f>IF('G2 MT Reading Scoresheet'!D34&lt;&gt;"",'G2 MT Reading Scoresheet'!D34,"")</f>
        <v>Female</v>
      </c>
      <c r="E34" s="135">
        <f>IF('G2 MT Reading Scoresheet'!E34&lt;&gt;"",'G2 MT Reading Scoresheet'!E34,"")</f>
        <v>45834</v>
      </c>
      <c r="F34" s="268">
        <f>IF('G2 MT Reading Scoresheet'!F34&lt;&gt;"",'G2 MT Reading Scoresheet'!F34,"")</f>
        <v>10</v>
      </c>
      <c r="G34" s="269" t="str">
        <f>IF('G2 MT Reading Scoresheet'!G34&lt;&gt;"",'G2 MT Reading Scoresheet'!G34,"")</f>
        <v/>
      </c>
      <c r="H34" s="81">
        <f>IF('G2 MT Reading Scoresheet'!H34&lt;&gt;"",'G2 MT Reading Scoresheet'!H34,"")</f>
        <v>10</v>
      </c>
      <c r="I34" s="81">
        <f>IF('G2 MT Reading Scoresheet'!I34&lt;&gt;"",'G2 MT Reading Scoresheet'!I34,"")</f>
        <v>30</v>
      </c>
      <c r="J34" s="82" t="str">
        <f>IF('G2 MT Reading Scoresheet'!J34&lt;&gt;"",'G2 MT Reading Scoresheet'!J34,"")</f>
        <v>Grade Ready</v>
      </c>
      <c r="K34" s="270">
        <f>IF('G2 MT Reading Scoresheet'!K34&lt;&gt;"",'G2 MT Reading Scoresheet'!K34,"")</f>
        <v>2</v>
      </c>
      <c r="L34" s="87">
        <f>IF('G2 MT Reading Scoresheet'!L34&lt;&gt;"",'G2 MT Reading Scoresheet'!L34,"")</f>
        <v>0</v>
      </c>
      <c r="M34" s="118">
        <f>IF('G2 MT Reading Scoresheet'!M34&lt;&gt;"",'G2 MT Reading Scoresheet'!M34,"")</f>
        <v>95</v>
      </c>
      <c r="N34" s="81">
        <f>IF('G2 MT Reading Scoresheet'!N34&lt;&gt;"",'G2 MT Reading Scoresheet'!N34,"")</f>
        <v>1</v>
      </c>
      <c r="O34" s="81">
        <f>IF('G2 MT Reading Scoresheet'!O34&lt;&gt;"",'G2 MT Reading Scoresheet'!O34,"")</f>
        <v>59</v>
      </c>
      <c r="P34" s="118">
        <f>IF('G2 MT Reading Scoresheet'!P34&lt;&gt;"",'G2 MT Reading Scoresheet'!P34,"")</f>
        <v>47.899159663865547</v>
      </c>
      <c r="Q34" s="122">
        <f>IF('G2 MT Reading Scoresheet'!Q34&lt;&gt;"",'G2 MT Reading Scoresheet'!Q34,"")</f>
        <v>1</v>
      </c>
      <c r="R34" s="81">
        <f>IF('G2 MT Reading Scoresheet'!R34&lt;&gt;"",'G2 MT Reading Scoresheet'!R34,"")</f>
        <v>4</v>
      </c>
      <c r="S34" s="81">
        <f>IF('G2 MT Reading Scoresheet'!S34&lt;&gt;"",'G2 MT Reading Scoresheet'!S34,"")</f>
        <v>3</v>
      </c>
      <c r="T34" s="82" t="str">
        <f>IF('G2 MT Reading Scoresheet'!T34&lt;&gt;"",'G2 MT Reading Scoresheet'!T34,"")</f>
        <v>Level 3</v>
      </c>
      <c r="U34" s="87" t="str">
        <f>IF('G2 MT Reading Scoresheet'!U34&lt;&gt;"",'G2 MT Reading Scoresheet'!U34,"")</f>
        <v>Transitioning Reader</v>
      </c>
      <c r="V34" s="271"/>
      <c r="Y34" s="221">
        <f t="shared" si="0"/>
        <v>0.66666666666666663</v>
      </c>
    </row>
    <row r="35" spans="1:25" ht="14.4" x14ac:dyDescent="0.3">
      <c r="A35" s="5">
        <v>25</v>
      </c>
      <c r="B35" s="118" t="str">
        <f>IF('G2 MT Reading Scoresheet'!B35&lt;&gt;"",'G2 MT Reading Scoresheet'!B35,"")</f>
        <v/>
      </c>
      <c r="C35" s="133" t="str">
        <f>IF('G2 MT Reading Scoresheet'!C35&lt;&gt;"",'G2 MT Reading Scoresheet'!C35,"")</f>
        <v/>
      </c>
      <c r="D35" s="134" t="str">
        <f>IF('G2 MT Reading Scoresheet'!D35&lt;&gt;"",'G2 MT Reading Scoresheet'!D35,"")</f>
        <v/>
      </c>
      <c r="E35" s="135" t="str">
        <f>IF('G2 MT Reading Scoresheet'!E35&lt;&gt;"",'G2 MT Reading Scoresheet'!E35,"")</f>
        <v/>
      </c>
      <c r="F35" s="272" t="str">
        <f>IF('G2 MT Reading Scoresheet'!F35&lt;&gt;"",'G2 MT Reading Scoresheet'!F35,"")</f>
        <v/>
      </c>
      <c r="G35" s="262" t="str">
        <f>IF('G2 MT Reading Scoresheet'!G35&lt;&gt;"",'G2 MT Reading Scoresheet'!G35,"")</f>
        <v/>
      </c>
      <c r="H35" s="273">
        <f>IF('G2 MT Reading Scoresheet'!H35&lt;&gt;"",'G2 MT Reading Scoresheet'!H35,"")</f>
        <v>10</v>
      </c>
      <c r="I35" s="81" t="str">
        <f>IF('G2 MT Reading Scoresheet'!I35&lt;&gt;"",'G2 MT Reading Scoresheet'!I35,"")</f>
        <v/>
      </c>
      <c r="J35" s="82" t="str">
        <f>IF('G2 MT Reading Scoresheet'!J35&lt;&gt;"",'G2 MT Reading Scoresheet'!J35,"")</f>
        <v/>
      </c>
      <c r="K35" s="274" t="str">
        <f>IF('G2 MT Reading Scoresheet'!K35&lt;&gt;"",'G2 MT Reading Scoresheet'!K35,"")</f>
        <v/>
      </c>
      <c r="L35" s="275" t="str">
        <f>IF('G2 MT Reading Scoresheet'!L35&lt;&gt;"",'G2 MT Reading Scoresheet'!L35,"")</f>
        <v/>
      </c>
      <c r="M35" s="118" t="str">
        <f>IF('G2 MT Reading Scoresheet'!M35&lt;&gt;"",'G2 MT Reading Scoresheet'!M35,"")</f>
        <v/>
      </c>
      <c r="N35" s="273" t="str">
        <f>IF('G2 MT Reading Scoresheet'!N35&lt;&gt;"",'G2 MT Reading Scoresheet'!N35,"")</f>
        <v/>
      </c>
      <c r="O35" s="273" t="str">
        <f>IF('G2 MT Reading Scoresheet'!O35&lt;&gt;"",'G2 MT Reading Scoresheet'!O35,"")</f>
        <v/>
      </c>
      <c r="P35" s="118" t="str">
        <f>IF('G2 MT Reading Scoresheet'!P35&lt;&gt;"",'G2 MT Reading Scoresheet'!P35,"")</f>
        <v/>
      </c>
      <c r="Q35" s="122" t="str">
        <f>IF('G2 MT Reading Scoresheet'!Q35&lt;&gt;"",'G2 MT Reading Scoresheet'!Q35,"")</f>
        <v/>
      </c>
      <c r="R35" s="273" t="str">
        <f>IF('G2 MT Reading Scoresheet'!R35&lt;&gt;"",'G2 MT Reading Scoresheet'!R35,"")</f>
        <v/>
      </c>
      <c r="S35" s="273" t="str">
        <f>IF('G2 MT Reading Scoresheet'!S35&lt;&gt;"",'G2 MT Reading Scoresheet'!S35,"")</f>
        <v/>
      </c>
      <c r="T35" s="276" t="str">
        <f>IF('G2 MT Reading Scoresheet'!T35&lt;&gt;"",'G2 MT Reading Scoresheet'!T35,"")</f>
        <v/>
      </c>
      <c r="U35" s="87" t="str">
        <f>IF('G2 MT Reading Scoresheet'!U35&lt;&gt;"",'G2 MT Reading Scoresheet'!U35,"")</f>
        <v/>
      </c>
      <c r="V35" s="277"/>
      <c r="Y35" s="221" t="str">
        <f t="shared" si="0"/>
        <v/>
      </c>
    </row>
    <row r="36" spans="1:25" ht="14.4" x14ac:dyDescent="0.3">
      <c r="A36" s="4">
        <v>26</v>
      </c>
      <c r="B36" s="118" t="str">
        <f>IF('G2 MT Reading Scoresheet'!B36&lt;&gt;"",'G2 MT Reading Scoresheet'!B36,"")</f>
        <v/>
      </c>
      <c r="C36" s="133" t="str">
        <f>IF('G2 MT Reading Scoresheet'!C36&lt;&gt;"",'G2 MT Reading Scoresheet'!C36,"")</f>
        <v/>
      </c>
      <c r="D36" s="134" t="str">
        <f>IF('G2 MT Reading Scoresheet'!D36&lt;&gt;"",'G2 MT Reading Scoresheet'!D36,"")</f>
        <v/>
      </c>
      <c r="E36" s="135" t="str">
        <f>IF('G2 MT Reading Scoresheet'!E36&lt;&gt;"",'G2 MT Reading Scoresheet'!E36,"")</f>
        <v/>
      </c>
      <c r="F36" s="268" t="str">
        <f>IF('G2 MT Reading Scoresheet'!F36&lt;&gt;"",'G2 MT Reading Scoresheet'!F36,"")</f>
        <v/>
      </c>
      <c r="G36" s="269" t="str">
        <f>IF('G2 MT Reading Scoresheet'!G36&lt;&gt;"",'G2 MT Reading Scoresheet'!G36,"")</f>
        <v/>
      </c>
      <c r="H36" s="81">
        <f>IF('G2 MT Reading Scoresheet'!H36&lt;&gt;"",'G2 MT Reading Scoresheet'!H36,"")</f>
        <v>9</v>
      </c>
      <c r="I36" s="81" t="str">
        <f>IF('G2 MT Reading Scoresheet'!I36&lt;&gt;"",'G2 MT Reading Scoresheet'!I36,"")</f>
        <v/>
      </c>
      <c r="J36" s="82" t="str">
        <f>IF('G2 MT Reading Scoresheet'!J36&lt;&gt;"",'G2 MT Reading Scoresheet'!J36,"")</f>
        <v/>
      </c>
      <c r="K36" s="270" t="str">
        <f>IF('G2 MT Reading Scoresheet'!K36&lt;&gt;"",'G2 MT Reading Scoresheet'!K36,"")</f>
        <v/>
      </c>
      <c r="L36" s="87" t="str">
        <f>IF('G2 MT Reading Scoresheet'!L36&lt;&gt;"",'G2 MT Reading Scoresheet'!L36,"")</f>
        <v/>
      </c>
      <c r="M36" s="118" t="str">
        <f>IF('G2 MT Reading Scoresheet'!M36&lt;&gt;"",'G2 MT Reading Scoresheet'!M36,"")</f>
        <v/>
      </c>
      <c r="N36" s="81" t="str">
        <f>IF('G2 MT Reading Scoresheet'!N36&lt;&gt;"",'G2 MT Reading Scoresheet'!N36,"")</f>
        <v/>
      </c>
      <c r="O36" s="81" t="str">
        <f>IF('G2 MT Reading Scoresheet'!O36&lt;&gt;"",'G2 MT Reading Scoresheet'!O36,"")</f>
        <v/>
      </c>
      <c r="P36" s="118" t="str">
        <f>IF('G2 MT Reading Scoresheet'!P36&lt;&gt;"",'G2 MT Reading Scoresheet'!P36,"")</f>
        <v/>
      </c>
      <c r="Q36" s="122" t="str">
        <f>IF('G2 MT Reading Scoresheet'!Q36&lt;&gt;"",'G2 MT Reading Scoresheet'!Q36,"")</f>
        <v/>
      </c>
      <c r="R36" s="81" t="str">
        <f>IF('G2 MT Reading Scoresheet'!R36&lt;&gt;"",'G2 MT Reading Scoresheet'!R36,"")</f>
        <v/>
      </c>
      <c r="S36" s="81" t="str">
        <f>IF('G2 MT Reading Scoresheet'!S36&lt;&gt;"",'G2 MT Reading Scoresheet'!S36,"")</f>
        <v/>
      </c>
      <c r="T36" s="82" t="str">
        <f>IF('G2 MT Reading Scoresheet'!T36&lt;&gt;"",'G2 MT Reading Scoresheet'!T36,"")</f>
        <v/>
      </c>
      <c r="U36" s="87" t="str">
        <f>IF('G2 MT Reading Scoresheet'!U36&lt;&gt;"",'G2 MT Reading Scoresheet'!U36,"")</f>
        <v/>
      </c>
      <c r="V36" s="271"/>
      <c r="Y36" s="221" t="str">
        <f t="shared" si="0"/>
        <v/>
      </c>
    </row>
    <row r="37" spans="1:25" ht="14.4" x14ac:dyDescent="0.3">
      <c r="A37" s="5">
        <v>27</v>
      </c>
      <c r="B37" s="118" t="str">
        <f>IF('G2 MT Reading Scoresheet'!B37&lt;&gt;"",'G2 MT Reading Scoresheet'!B37,"")</f>
        <v/>
      </c>
      <c r="C37" s="133" t="str">
        <f>IF('G2 MT Reading Scoresheet'!C37&lt;&gt;"",'G2 MT Reading Scoresheet'!C37,"")</f>
        <v/>
      </c>
      <c r="D37" s="134" t="str">
        <f>IF('G2 MT Reading Scoresheet'!D37&lt;&gt;"",'G2 MT Reading Scoresheet'!D37,"")</f>
        <v/>
      </c>
      <c r="E37" s="135" t="str">
        <f>IF('G2 MT Reading Scoresheet'!E37&lt;&gt;"",'G2 MT Reading Scoresheet'!E37,"")</f>
        <v/>
      </c>
      <c r="F37" s="272" t="str">
        <f>IF('G2 MT Reading Scoresheet'!F37&lt;&gt;"",'G2 MT Reading Scoresheet'!F37,"")</f>
        <v/>
      </c>
      <c r="G37" s="262" t="str">
        <f>IF('G2 MT Reading Scoresheet'!G37&lt;&gt;"",'G2 MT Reading Scoresheet'!G37,"")</f>
        <v/>
      </c>
      <c r="H37" s="273">
        <f>IF('G2 MT Reading Scoresheet'!H37&lt;&gt;"",'G2 MT Reading Scoresheet'!H37,"")</f>
        <v>9</v>
      </c>
      <c r="I37" s="81" t="str">
        <f>IF('G2 MT Reading Scoresheet'!I37&lt;&gt;"",'G2 MT Reading Scoresheet'!I37,"")</f>
        <v/>
      </c>
      <c r="J37" s="82" t="str">
        <f>IF('G2 MT Reading Scoresheet'!J37&lt;&gt;"",'G2 MT Reading Scoresheet'!J37,"")</f>
        <v/>
      </c>
      <c r="K37" s="274" t="str">
        <f>IF('G2 MT Reading Scoresheet'!K37&lt;&gt;"",'G2 MT Reading Scoresheet'!K37,"")</f>
        <v/>
      </c>
      <c r="L37" s="275" t="str">
        <f>IF('G2 MT Reading Scoresheet'!L37&lt;&gt;"",'G2 MT Reading Scoresheet'!L37,"")</f>
        <v/>
      </c>
      <c r="M37" s="118" t="str">
        <f>IF('G2 MT Reading Scoresheet'!M37&lt;&gt;"",'G2 MT Reading Scoresheet'!M37,"")</f>
        <v/>
      </c>
      <c r="N37" s="273" t="str">
        <f>IF('G2 MT Reading Scoresheet'!N37&lt;&gt;"",'G2 MT Reading Scoresheet'!N37,"")</f>
        <v/>
      </c>
      <c r="O37" s="273" t="str">
        <f>IF('G2 MT Reading Scoresheet'!O37&lt;&gt;"",'G2 MT Reading Scoresheet'!O37,"")</f>
        <v/>
      </c>
      <c r="P37" s="118" t="str">
        <f>IF('G2 MT Reading Scoresheet'!P37&lt;&gt;"",'G2 MT Reading Scoresheet'!P37,"")</f>
        <v/>
      </c>
      <c r="Q37" s="122" t="str">
        <f>IF('G2 MT Reading Scoresheet'!Q37&lt;&gt;"",'G2 MT Reading Scoresheet'!Q37,"")</f>
        <v/>
      </c>
      <c r="R37" s="273" t="str">
        <f>IF('G2 MT Reading Scoresheet'!R37&lt;&gt;"",'G2 MT Reading Scoresheet'!R37,"")</f>
        <v/>
      </c>
      <c r="S37" s="273" t="str">
        <f>IF('G2 MT Reading Scoresheet'!S37&lt;&gt;"",'G2 MT Reading Scoresheet'!S37,"")</f>
        <v/>
      </c>
      <c r="T37" s="276" t="str">
        <f>IF('G2 MT Reading Scoresheet'!T37&lt;&gt;"",'G2 MT Reading Scoresheet'!T37,"")</f>
        <v/>
      </c>
      <c r="U37" s="87" t="str">
        <f>IF('G2 MT Reading Scoresheet'!U37&lt;&gt;"",'G2 MT Reading Scoresheet'!U37,"")</f>
        <v/>
      </c>
      <c r="V37" s="277"/>
      <c r="Y37" s="221" t="str">
        <f t="shared" si="0"/>
        <v/>
      </c>
    </row>
    <row r="38" spans="1:25" ht="14.4" x14ac:dyDescent="0.3">
      <c r="A38" s="4">
        <v>28</v>
      </c>
      <c r="B38" s="118" t="str">
        <f>IF('G2 MT Reading Scoresheet'!B38&lt;&gt;"",'G2 MT Reading Scoresheet'!B38,"")</f>
        <v/>
      </c>
      <c r="C38" s="133" t="str">
        <f>IF('G2 MT Reading Scoresheet'!C38&lt;&gt;"",'G2 MT Reading Scoresheet'!C38,"")</f>
        <v/>
      </c>
      <c r="D38" s="134" t="str">
        <f>IF('G2 MT Reading Scoresheet'!D38&lt;&gt;"",'G2 MT Reading Scoresheet'!D38,"")</f>
        <v/>
      </c>
      <c r="E38" s="135" t="str">
        <f>IF('G2 MT Reading Scoresheet'!E38&lt;&gt;"",'G2 MT Reading Scoresheet'!E38,"")</f>
        <v/>
      </c>
      <c r="F38" s="268" t="str">
        <f>IF('G2 MT Reading Scoresheet'!F38&lt;&gt;"",'G2 MT Reading Scoresheet'!F38,"")</f>
        <v/>
      </c>
      <c r="G38" s="269" t="str">
        <f>IF('G2 MT Reading Scoresheet'!G38&lt;&gt;"",'G2 MT Reading Scoresheet'!G38,"")</f>
        <v/>
      </c>
      <c r="H38" s="81" t="str">
        <f>IF('G2 MT Reading Scoresheet'!H38&lt;&gt;"",'G2 MT Reading Scoresheet'!H38,"")</f>
        <v/>
      </c>
      <c r="I38" s="81" t="str">
        <f>IF('G2 MT Reading Scoresheet'!I38&lt;&gt;"",'G2 MT Reading Scoresheet'!I38,"")</f>
        <v/>
      </c>
      <c r="J38" s="82" t="str">
        <f>IF('G2 MT Reading Scoresheet'!J38&lt;&gt;"",'G2 MT Reading Scoresheet'!J38,"")</f>
        <v/>
      </c>
      <c r="K38" s="270" t="str">
        <f>IF('G2 MT Reading Scoresheet'!K38&lt;&gt;"",'G2 MT Reading Scoresheet'!K38,"")</f>
        <v/>
      </c>
      <c r="L38" s="87" t="str">
        <f>IF('G2 MT Reading Scoresheet'!L38&lt;&gt;"",'G2 MT Reading Scoresheet'!L38,"")</f>
        <v/>
      </c>
      <c r="M38" s="118" t="str">
        <f>IF('G2 MT Reading Scoresheet'!M38&lt;&gt;"",'G2 MT Reading Scoresheet'!M38,"")</f>
        <v/>
      </c>
      <c r="N38" s="81" t="str">
        <f>IF('G2 MT Reading Scoresheet'!N38&lt;&gt;"",'G2 MT Reading Scoresheet'!N38,"")</f>
        <v/>
      </c>
      <c r="O38" s="81" t="str">
        <f>IF('G2 MT Reading Scoresheet'!O38&lt;&gt;"",'G2 MT Reading Scoresheet'!O38,"")</f>
        <v/>
      </c>
      <c r="P38" s="118" t="str">
        <f>IF('G2 MT Reading Scoresheet'!P38&lt;&gt;"",'G2 MT Reading Scoresheet'!P38,"")</f>
        <v/>
      </c>
      <c r="Q38" s="122" t="str">
        <f>IF('G2 MT Reading Scoresheet'!Q38&lt;&gt;"",'G2 MT Reading Scoresheet'!Q38,"")</f>
        <v/>
      </c>
      <c r="R38" s="81" t="str">
        <f>IF('G2 MT Reading Scoresheet'!R38&lt;&gt;"",'G2 MT Reading Scoresheet'!R38,"")</f>
        <v/>
      </c>
      <c r="S38" s="81" t="str">
        <f>IF('G2 MT Reading Scoresheet'!S38&lt;&gt;"",'G2 MT Reading Scoresheet'!S38,"")</f>
        <v/>
      </c>
      <c r="T38" s="82" t="str">
        <f>IF('G2 MT Reading Scoresheet'!T38&lt;&gt;"",'G2 MT Reading Scoresheet'!T38,"")</f>
        <v/>
      </c>
      <c r="U38" s="87" t="str">
        <f>IF('G2 MT Reading Scoresheet'!U38&lt;&gt;"",'G2 MT Reading Scoresheet'!U38,"")</f>
        <v/>
      </c>
      <c r="V38" s="271"/>
      <c r="Y38" s="221" t="str">
        <f t="shared" si="0"/>
        <v/>
      </c>
    </row>
    <row r="39" spans="1:25" ht="14.4" x14ac:dyDescent="0.3">
      <c r="A39" s="5">
        <v>29</v>
      </c>
      <c r="B39" s="118" t="str">
        <f>IF('G2 MT Reading Scoresheet'!B39&lt;&gt;"",'G2 MT Reading Scoresheet'!B39,"")</f>
        <v/>
      </c>
      <c r="C39" s="133" t="str">
        <f>IF('G2 MT Reading Scoresheet'!C39&lt;&gt;"",'G2 MT Reading Scoresheet'!C39,"")</f>
        <v/>
      </c>
      <c r="D39" s="134" t="str">
        <f>IF('G2 MT Reading Scoresheet'!D39&lt;&gt;"",'G2 MT Reading Scoresheet'!D39,"")</f>
        <v/>
      </c>
      <c r="E39" s="135" t="str">
        <f>IF('G2 MT Reading Scoresheet'!E39&lt;&gt;"",'G2 MT Reading Scoresheet'!E39,"")</f>
        <v/>
      </c>
      <c r="F39" s="272" t="str">
        <f>IF('G2 MT Reading Scoresheet'!F39&lt;&gt;"",'G2 MT Reading Scoresheet'!F39,"")</f>
        <v/>
      </c>
      <c r="G39" s="262" t="str">
        <f>IF('G2 MT Reading Scoresheet'!G39&lt;&gt;"",'G2 MT Reading Scoresheet'!G39,"")</f>
        <v/>
      </c>
      <c r="H39" s="273">
        <f>IF('G2 MT Reading Scoresheet'!H39&lt;&gt;"",'G2 MT Reading Scoresheet'!H39,"")</f>
        <v>10</v>
      </c>
      <c r="I39" s="81" t="str">
        <f>IF('G2 MT Reading Scoresheet'!I39&lt;&gt;"",'G2 MT Reading Scoresheet'!I39,"")</f>
        <v/>
      </c>
      <c r="J39" s="82" t="str">
        <f>IF('G2 MT Reading Scoresheet'!J39&lt;&gt;"",'G2 MT Reading Scoresheet'!J39,"")</f>
        <v/>
      </c>
      <c r="K39" s="274" t="str">
        <f>IF('G2 MT Reading Scoresheet'!K39&lt;&gt;"",'G2 MT Reading Scoresheet'!K39,"")</f>
        <v/>
      </c>
      <c r="L39" s="275" t="str">
        <f>IF('G2 MT Reading Scoresheet'!L39&lt;&gt;"",'G2 MT Reading Scoresheet'!L39,"")</f>
        <v/>
      </c>
      <c r="M39" s="118" t="str">
        <f>IF('G2 MT Reading Scoresheet'!M39&lt;&gt;"",'G2 MT Reading Scoresheet'!M39,"")</f>
        <v/>
      </c>
      <c r="N39" s="273" t="str">
        <f>IF('G2 MT Reading Scoresheet'!N39&lt;&gt;"",'G2 MT Reading Scoresheet'!N39,"")</f>
        <v/>
      </c>
      <c r="O39" s="273" t="str">
        <f>IF('G2 MT Reading Scoresheet'!O39&lt;&gt;"",'G2 MT Reading Scoresheet'!O39,"")</f>
        <v/>
      </c>
      <c r="P39" s="118" t="str">
        <f>IF('G2 MT Reading Scoresheet'!P39&lt;&gt;"",'G2 MT Reading Scoresheet'!P39,"")</f>
        <v/>
      </c>
      <c r="Q39" s="122" t="str">
        <f>IF('G2 MT Reading Scoresheet'!Q39&lt;&gt;"",'G2 MT Reading Scoresheet'!Q39,"")</f>
        <v/>
      </c>
      <c r="R39" s="273" t="str">
        <f>IF('G2 MT Reading Scoresheet'!R39&lt;&gt;"",'G2 MT Reading Scoresheet'!R39,"")</f>
        <v/>
      </c>
      <c r="S39" s="273" t="str">
        <f>IF('G2 MT Reading Scoresheet'!S39&lt;&gt;"",'G2 MT Reading Scoresheet'!S39,"")</f>
        <v/>
      </c>
      <c r="T39" s="276" t="str">
        <f>IF('G2 MT Reading Scoresheet'!T39&lt;&gt;"",'G2 MT Reading Scoresheet'!T39,"")</f>
        <v/>
      </c>
      <c r="U39" s="87" t="str">
        <f>IF('G2 MT Reading Scoresheet'!U39&lt;&gt;"",'G2 MT Reading Scoresheet'!U39,"")</f>
        <v/>
      </c>
      <c r="V39" s="277"/>
      <c r="Y39" s="221" t="str">
        <f t="shared" si="0"/>
        <v/>
      </c>
    </row>
    <row r="40" spans="1:25" ht="14.4" x14ac:dyDescent="0.3">
      <c r="A40" s="4">
        <v>30</v>
      </c>
      <c r="B40" s="118" t="str">
        <f>IF('G2 MT Reading Scoresheet'!B40&lt;&gt;"",'G2 MT Reading Scoresheet'!B40,"")</f>
        <v/>
      </c>
      <c r="C40" s="133" t="str">
        <f>IF('G2 MT Reading Scoresheet'!C40&lt;&gt;"",'G2 MT Reading Scoresheet'!C40,"")</f>
        <v/>
      </c>
      <c r="D40" s="134" t="str">
        <f>IF('G2 MT Reading Scoresheet'!D40&lt;&gt;"",'G2 MT Reading Scoresheet'!D40,"")</f>
        <v/>
      </c>
      <c r="E40" s="135" t="str">
        <f>IF('G2 MT Reading Scoresheet'!E40&lt;&gt;"",'G2 MT Reading Scoresheet'!E40,"")</f>
        <v/>
      </c>
      <c r="F40" s="268" t="str">
        <f>IF('G2 MT Reading Scoresheet'!F40&lt;&gt;"",'G2 MT Reading Scoresheet'!F40,"")</f>
        <v/>
      </c>
      <c r="G40" s="269" t="str">
        <f>IF('G2 MT Reading Scoresheet'!G40&lt;&gt;"",'G2 MT Reading Scoresheet'!G40,"")</f>
        <v/>
      </c>
      <c r="H40" s="81">
        <f>IF('G2 MT Reading Scoresheet'!H40&lt;&gt;"",'G2 MT Reading Scoresheet'!H40,"")</f>
        <v>10</v>
      </c>
      <c r="I40" s="81" t="str">
        <f>IF('G2 MT Reading Scoresheet'!I40&lt;&gt;"",'G2 MT Reading Scoresheet'!I40,"")</f>
        <v/>
      </c>
      <c r="J40" s="82" t="str">
        <f>IF('G2 MT Reading Scoresheet'!J40&lt;&gt;"",'G2 MT Reading Scoresheet'!J40,"")</f>
        <v/>
      </c>
      <c r="K40" s="270" t="str">
        <f>IF('G2 MT Reading Scoresheet'!K40&lt;&gt;"",'G2 MT Reading Scoresheet'!K40,"")</f>
        <v/>
      </c>
      <c r="L40" s="87" t="str">
        <f>IF('G2 MT Reading Scoresheet'!L40&lt;&gt;"",'G2 MT Reading Scoresheet'!L40,"")</f>
        <v/>
      </c>
      <c r="M40" s="118" t="str">
        <f>IF('G2 MT Reading Scoresheet'!M40&lt;&gt;"",'G2 MT Reading Scoresheet'!M40,"")</f>
        <v/>
      </c>
      <c r="N40" s="81" t="str">
        <f>IF('G2 MT Reading Scoresheet'!N40&lt;&gt;"",'G2 MT Reading Scoresheet'!N40,"")</f>
        <v/>
      </c>
      <c r="O40" s="81" t="str">
        <f>IF('G2 MT Reading Scoresheet'!O40&lt;&gt;"",'G2 MT Reading Scoresheet'!O40,"")</f>
        <v/>
      </c>
      <c r="P40" s="118" t="str">
        <f>IF('G2 MT Reading Scoresheet'!P40&lt;&gt;"",'G2 MT Reading Scoresheet'!P40,"")</f>
        <v/>
      </c>
      <c r="Q40" s="122" t="str">
        <f>IF('G2 MT Reading Scoresheet'!Q40&lt;&gt;"",'G2 MT Reading Scoresheet'!Q40,"")</f>
        <v/>
      </c>
      <c r="R40" s="81" t="str">
        <f>IF('G2 MT Reading Scoresheet'!R40&lt;&gt;"",'G2 MT Reading Scoresheet'!R40,"")</f>
        <v/>
      </c>
      <c r="S40" s="81" t="str">
        <f>IF('G2 MT Reading Scoresheet'!S40&lt;&gt;"",'G2 MT Reading Scoresheet'!S40,"")</f>
        <v/>
      </c>
      <c r="T40" s="82" t="str">
        <f>IF('G2 MT Reading Scoresheet'!T40&lt;&gt;"",'G2 MT Reading Scoresheet'!T40,"")</f>
        <v/>
      </c>
      <c r="U40" s="87" t="str">
        <f>IF('G2 MT Reading Scoresheet'!U40&lt;&gt;"",'G2 MT Reading Scoresheet'!U40,"")</f>
        <v/>
      </c>
      <c r="V40" s="271"/>
      <c r="Y40" s="221" t="str">
        <f t="shared" si="0"/>
        <v/>
      </c>
    </row>
    <row r="41" spans="1:25" ht="14.4" x14ac:dyDescent="0.3">
      <c r="A41" s="5">
        <v>31</v>
      </c>
      <c r="B41" s="118" t="str">
        <f>IF('G2 MT Reading Scoresheet'!B41&lt;&gt;"",'G2 MT Reading Scoresheet'!B41,"")</f>
        <v/>
      </c>
      <c r="C41" s="133" t="str">
        <f>IF('G2 MT Reading Scoresheet'!C41&lt;&gt;"",'G2 MT Reading Scoresheet'!C41,"")</f>
        <v/>
      </c>
      <c r="D41" s="134" t="str">
        <f>IF('G2 MT Reading Scoresheet'!D41&lt;&gt;"",'G2 MT Reading Scoresheet'!D41,"")</f>
        <v/>
      </c>
      <c r="E41" s="135" t="str">
        <f>IF('G2 MT Reading Scoresheet'!E41&lt;&gt;"",'G2 MT Reading Scoresheet'!E41,"")</f>
        <v/>
      </c>
      <c r="F41" s="272" t="str">
        <f>IF('G2 MT Reading Scoresheet'!F41&lt;&gt;"",'G2 MT Reading Scoresheet'!F41,"")</f>
        <v/>
      </c>
      <c r="G41" s="262" t="str">
        <f>IF('G2 MT Reading Scoresheet'!G41&lt;&gt;"",'G2 MT Reading Scoresheet'!G41,"")</f>
        <v/>
      </c>
      <c r="H41" s="273">
        <f>IF('G2 MT Reading Scoresheet'!H41&lt;&gt;"",'G2 MT Reading Scoresheet'!H41,"")</f>
        <v>10</v>
      </c>
      <c r="I41" s="81" t="str">
        <f>IF('G2 MT Reading Scoresheet'!I41&lt;&gt;"",'G2 MT Reading Scoresheet'!I41,"")</f>
        <v/>
      </c>
      <c r="J41" s="82" t="str">
        <f>IF('G2 MT Reading Scoresheet'!J41&lt;&gt;"",'G2 MT Reading Scoresheet'!J41,"")</f>
        <v/>
      </c>
      <c r="K41" s="274" t="str">
        <f>IF('G2 MT Reading Scoresheet'!K41&lt;&gt;"",'G2 MT Reading Scoresheet'!K41,"")</f>
        <v/>
      </c>
      <c r="L41" s="275" t="str">
        <f>IF('G2 MT Reading Scoresheet'!L41&lt;&gt;"",'G2 MT Reading Scoresheet'!L41,"")</f>
        <v/>
      </c>
      <c r="M41" s="118" t="str">
        <f>IF('G2 MT Reading Scoresheet'!M41&lt;&gt;"",'G2 MT Reading Scoresheet'!M41,"")</f>
        <v/>
      </c>
      <c r="N41" s="273" t="str">
        <f>IF('G2 MT Reading Scoresheet'!N41&lt;&gt;"",'G2 MT Reading Scoresheet'!N41,"")</f>
        <v/>
      </c>
      <c r="O41" s="273" t="str">
        <f>IF('G2 MT Reading Scoresheet'!O41&lt;&gt;"",'G2 MT Reading Scoresheet'!O41,"")</f>
        <v/>
      </c>
      <c r="P41" s="118" t="str">
        <f>IF('G2 MT Reading Scoresheet'!P41&lt;&gt;"",'G2 MT Reading Scoresheet'!P41,"")</f>
        <v/>
      </c>
      <c r="Q41" s="122" t="str">
        <f>IF('G2 MT Reading Scoresheet'!Q41&lt;&gt;"",'G2 MT Reading Scoresheet'!Q41,"")</f>
        <v/>
      </c>
      <c r="R41" s="273" t="str">
        <f>IF('G2 MT Reading Scoresheet'!R41&lt;&gt;"",'G2 MT Reading Scoresheet'!R41,"")</f>
        <v/>
      </c>
      <c r="S41" s="273" t="str">
        <f>IF('G2 MT Reading Scoresheet'!S41&lt;&gt;"",'G2 MT Reading Scoresheet'!S41,"")</f>
        <v/>
      </c>
      <c r="T41" s="276" t="str">
        <f>IF('G2 MT Reading Scoresheet'!T41&lt;&gt;"",'G2 MT Reading Scoresheet'!T41,"")</f>
        <v/>
      </c>
      <c r="U41" s="87" t="str">
        <f>IF('G2 MT Reading Scoresheet'!U41&lt;&gt;"",'G2 MT Reading Scoresheet'!U41,"")</f>
        <v/>
      </c>
      <c r="V41" s="277"/>
      <c r="Y41" s="221" t="str">
        <f t="shared" si="0"/>
        <v/>
      </c>
    </row>
    <row r="42" spans="1:25" ht="14.4" x14ac:dyDescent="0.3">
      <c r="A42" s="4">
        <v>32</v>
      </c>
      <c r="B42" s="118" t="str">
        <f>IF('G2 MT Reading Scoresheet'!B42&lt;&gt;"",'G2 MT Reading Scoresheet'!B42,"")</f>
        <v/>
      </c>
      <c r="C42" s="133" t="str">
        <f>IF('G2 MT Reading Scoresheet'!C42&lt;&gt;"",'G2 MT Reading Scoresheet'!C42,"")</f>
        <v/>
      </c>
      <c r="D42" s="134" t="str">
        <f>IF('G2 MT Reading Scoresheet'!D42&lt;&gt;"",'G2 MT Reading Scoresheet'!D42,"")</f>
        <v/>
      </c>
      <c r="E42" s="135" t="str">
        <f>IF('G2 MT Reading Scoresheet'!E42&lt;&gt;"",'G2 MT Reading Scoresheet'!E42,"")</f>
        <v/>
      </c>
      <c r="F42" s="268" t="str">
        <f>IF('G2 MT Reading Scoresheet'!F42&lt;&gt;"",'G2 MT Reading Scoresheet'!F42,"")</f>
        <v/>
      </c>
      <c r="G42" s="269" t="str">
        <f>IF('G2 MT Reading Scoresheet'!G42&lt;&gt;"",'G2 MT Reading Scoresheet'!G42,"")</f>
        <v/>
      </c>
      <c r="H42" s="81" t="str">
        <f>IF('G2 MT Reading Scoresheet'!H42&lt;&gt;"",'G2 MT Reading Scoresheet'!H42,"")</f>
        <v/>
      </c>
      <c r="I42" s="81" t="str">
        <f>IF('G2 MT Reading Scoresheet'!I42&lt;&gt;"",'G2 MT Reading Scoresheet'!I42,"")</f>
        <v/>
      </c>
      <c r="J42" s="82" t="str">
        <f>IF('G2 MT Reading Scoresheet'!J42&lt;&gt;"",'G2 MT Reading Scoresheet'!J42,"")</f>
        <v/>
      </c>
      <c r="K42" s="270" t="str">
        <f>IF('G2 MT Reading Scoresheet'!K42&lt;&gt;"",'G2 MT Reading Scoresheet'!K42,"")</f>
        <v/>
      </c>
      <c r="L42" s="87" t="str">
        <f>IF('G2 MT Reading Scoresheet'!L42&lt;&gt;"",'G2 MT Reading Scoresheet'!L42,"")</f>
        <v/>
      </c>
      <c r="M42" s="118" t="str">
        <f>IF('G2 MT Reading Scoresheet'!M42&lt;&gt;"",'G2 MT Reading Scoresheet'!M42,"")</f>
        <v/>
      </c>
      <c r="N42" s="81" t="str">
        <f>IF('G2 MT Reading Scoresheet'!N42&lt;&gt;"",'G2 MT Reading Scoresheet'!N42,"")</f>
        <v/>
      </c>
      <c r="O42" s="81" t="str">
        <f>IF('G2 MT Reading Scoresheet'!O42&lt;&gt;"",'G2 MT Reading Scoresheet'!O42,"")</f>
        <v/>
      </c>
      <c r="P42" s="118" t="str">
        <f>IF('G2 MT Reading Scoresheet'!P42&lt;&gt;"",'G2 MT Reading Scoresheet'!P42,"")</f>
        <v/>
      </c>
      <c r="Q42" s="122" t="str">
        <f>IF('G2 MT Reading Scoresheet'!Q42&lt;&gt;"",'G2 MT Reading Scoresheet'!Q42,"")</f>
        <v/>
      </c>
      <c r="R42" s="81" t="str">
        <f>IF('G2 MT Reading Scoresheet'!R42&lt;&gt;"",'G2 MT Reading Scoresheet'!R42,"")</f>
        <v/>
      </c>
      <c r="S42" s="81" t="str">
        <f>IF('G2 MT Reading Scoresheet'!S42&lt;&gt;"",'G2 MT Reading Scoresheet'!S42,"")</f>
        <v/>
      </c>
      <c r="T42" s="82" t="str">
        <f>IF('G2 MT Reading Scoresheet'!T42&lt;&gt;"",'G2 MT Reading Scoresheet'!T42,"")</f>
        <v/>
      </c>
      <c r="U42" s="87" t="str">
        <f>IF('G2 MT Reading Scoresheet'!U42&lt;&gt;"",'G2 MT Reading Scoresheet'!U42,"")</f>
        <v/>
      </c>
      <c r="V42" s="271"/>
      <c r="Y42" s="221" t="str">
        <f t="shared" si="0"/>
        <v/>
      </c>
    </row>
    <row r="43" spans="1:25" ht="14.4" x14ac:dyDescent="0.3">
      <c r="A43" s="5">
        <v>33</v>
      </c>
      <c r="B43" s="118" t="str">
        <f>IF('G2 MT Reading Scoresheet'!B43&lt;&gt;"",'G2 MT Reading Scoresheet'!B43,"")</f>
        <v/>
      </c>
      <c r="C43" s="133" t="str">
        <f>IF('G2 MT Reading Scoresheet'!C43&lt;&gt;"",'G2 MT Reading Scoresheet'!C43,"")</f>
        <v/>
      </c>
      <c r="D43" s="134" t="str">
        <f>IF('G2 MT Reading Scoresheet'!D43&lt;&gt;"",'G2 MT Reading Scoresheet'!D43,"")</f>
        <v/>
      </c>
      <c r="E43" s="135" t="str">
        <f>IF('G2 MT Reading Scoresheet'!E43&lt;&gt;"",'G2 MT Reading Scoresheet'!E43,"")</f>
        <v/>
      </c>
      <c r="F43" s="272" t="str">
        <f>IF('G2 MT Reading Scoresheet'!F43&lt;&gt;"",'G2 MT Reading Scoresheet'!F43,"")</f>
        <v/>
      </c>
      <c r="G43" s="262" t="str">
        <f>IF('G2 MT Reading Scoresheet'!G43&lt;&gt;"",'G2 MT Reading Scoresheet'!G43,"")</f>
        <v/>
      </c>
      <c r="H43" s="273" t="str">
        <f>IF('G2 MT Reading Scoresheet'!H43&lt;&gt;"",'G2 MT Reading Scoresheet'!H43,"")</f>
        <v/>
      </c>
      <c r="I43" s="81" t="str">
        <f>IF('G2 MT Reading Scoresheet'!I43&lt;&gt;"",'G2 MT Reading Scoresheet'!I43,"")</f>
        <v/>
      </c>
      <c r="J43" s="82" t="str">
        <f>IF('G2 MT Reading Scoresheet'!J43&lt;&gt;"",'G2 MT Reading Scoresheet'!J43,"")</f>
        <v/>
      </c>
      <c r="K43" s="274" t="str">
        <f>IF('G2 MT Reading Scoresheet'!K43&lt;&gt;"",'G2 MT Reading Scoresheet'!K43,"")</f>
        <v/>
      </c>
      <c r="L43" s="275" t="str">
        <f>IF('G2 MT Reading Scoresheet'!L43&lt;&gt;"",'G2 MT Reading Scoresheet'!L43,"")</f>
        <v/>
      </c>
      <c r="M43" s="118" t="str">
        <f>IF('G2 MT Reading Scoresheet'!M43&lt;&gt;"",'G2 MT Reading Scoresheet'!M43,"")</f>
        <v/>
      </c>
      <c r="N43" s="273" t="str">
        <f>IF('G2 MT Reading Scoresheet'!N43&lt;&gt;"",'G2 MT Reading Scoresheet'!N43,"")</f>
        <v/>
      </c>
      <c r="O43" s="273" t="str">
        <f>IF('G2 MT Reading Scoresheet'!O43&lt;&gt;"",'G2 MT Reading Scoresheet'!O43,"")</f>
        <v/>
      </c>
      <c r="P43" s="118" t="str">
        <f>IF('G2 MT Reading Scoresheet'!P43&lt;&gt;"",'G2 MT Reading Scoresheet'!P43,"")</f>
        <v/>
      </c>
      <c r="Q43" s="122" t="str">
        <f>IF('G2 MT Reading Scoresheet'!Q43&lt;&gt;"",'G2 MT Reading Scoresheet'!Q43,"")</f>
        <v/>
      </c>
      <c r="R43" s="273" t="str">
        <f>IF('G2 MT Reading Scoresheet'!R43&lt;&gt;"",'G2 MT Reading Scoresheet'!R43,"")</f>
        <v/>
      </c>
      <c r="S43" s="273" t="str">
        <f>IF('G2 MT Reading Scoresheet'!S43&lt;&gt;"",'G2 MT Reading Scoresheet'!S43,"")</f>
        <v/>
      </c>
      <c r="T43" s="276" t="str">
        <f>IF('G2 MT Reading Scoresheet'!T43&lt;&gt;"",'G2 MT Reading Scoresheet'!T43,"")</f>
        <v/>
      </c>
      <c r="U43" s="87" t="str">
        <f>IF('G2 MT Reading Scoresheet'!U43&lt;&gt;"",'G2 MT Reading Scoresheet'!U43,"")</f>
        <v/>
      </c>
      <c r="V43" s="277"/>
      <c r="Y43" s="221" t="str">
        <f t="shared" si="0"/>
        <v/>
      </c>
    </row>
    <row r="44" spans="1:25" ht="14.4" x14ac:dyDescent="0.3">
      <c r="A44" s="4">
        <v>34</v>
      </c>
      <c r="B44" s="118" t="str">
        <f>IF('G2 MT Reading Scoresheet'!B44&lt;&gt;"",'G2 MT Reading Scoresheet'!B44,"")</f>
        <v/>
      </c>
      <c r="C44" s="133" t="str">
        <f>IF('G2 MT Reading Scoresheet'!C44&lt;&gt;"",'G2 MT Reading Scoresheet'!C44,"")</f>
        <v/>
      </c>
      <c r="D44" s="134" t="str">
        <f>IF('G2 MT Reading Scoresheet'!D44&lt;&gt;"",'G2 MT Reading Scoresheet'!D44,"")</f>
        <v/>
      </c>
      <c r="E44" s="135" t="str">
        <f>IF('G2 MT Reading Scoresheet'!E44&lt;&gt;"",'G2 MT Reading Scoresheet'!E44,"")</f>
        <v/>
      </c>
      <c r="F44" s="268" t="str">
        <f>IF('G2 MT Reading Scoresheet'!F44&lt;&gt;"",'G2 MT Reading Scoresheet'!F44,"")</f>
        <v/>
      </c>
      <c r="G44" s="269" t="str">
        <f>IF('G2 MT Reading Scoresheet'!G44&lt;&gt;"",'G2 MT Reading Scoresheet'!G44,"")</f>
        <v/>
      </c>
      <c r="H44" s="81" t="str">
        <f>IF('G2 MT Reading Scoresheet'!H44&lt;&gt;"",'G2 MT Reading Scoresheet'!H44,"")</f>
        <v/>
      </c>
      <c r="I44" s="81" t="str">
        <f>IF('G2 MT Reading Scoresheet'!I44&lt;&gt;"",'G2 MT Reading Scoresheet'!I44,"")</f>
        <v/>
      </c>
      <c r="J44" s="82" t="str">
        <f>IF('G2 MT Reading Scoresheet'!J44&lt;&gt;"",'G2 MT Reading Scoresheet'!J44,"")</f>
        <v/>
      </c>
      <c r="K44" s="270" t="str">
        <f>IF('G2 MT Reading Scoresheet'!K44&lt;&gt;"",'G2 MT Reading Scoresheet'!K44,"")</f>
        <v/>
      </c>
      <c r="L44" s="87" t="str">
        <f>IF('G2 MT Reading Scoresheet'!L44&lt;&gt;"",'G2 MT Reading Scoresheet'!L44,"")</f>
        <v/>
      </c>
      <c r="M44" s="118" t="str">
        <f>IF('G2 MT Reading Scoresheet'!M44&lt;&gt;"",'G2 MT Reading Scoresheet'!M44,"")</f>
        <v/>
      </c>
      <c r="N44" s="81" t="str">
        <f>IF('G2 MT Reading Scoresheet'!N44&lt;&gt;"",'G2 MT Reading Scoresheet'!N44,"")</f>
        <v/>
      </c>
      <c r="O44" s="81" t="str">
        <f>IF('G2 MT Reading Scoresheet'!O44&lt;&gt;"",'G2 MT Reading Scoresheet'!O44,"")</f>
        <v/>
      </c>
      <c r="P44" s="118" t="str">
        <f>IF('G2 MT Reading Scoresheet'!P44&lt;&gt;"",'G2 MT Reading Scoresheet'!P44,"")</f>
        <v/>
      </c>
      <c r="Q44" s="122" t="str">
        <f>IF('G2 MT Reading Scoresheet'!Q44&lt;&gt;"",'G2 MT Reading Scoresheet'!Q44,"")</f>
        <v/>
      </c>
      <c r="R44" s="81" t="str">
        <f>IF('G2 MT Reading Scoresheet'!R44&lt;&gt;"",'G2 MT Reading Scoresheet'!R44,"")</f>
        <v/>
      </c>
      <c r="S44" s="81" t="str">
        <f>IF('G2 MT Reading Scoresheet'!S44&lt;&gt;"",'G2 MT Reading Scoresheet'!S44,"")</f>
        <v/>
      </c>
      <c r="T44" s="82" t="str">
        <f>IF('G2 MT Reading Scoresheet'!T44&lt;&gt;"",'G2 MT Reading Scoresheet'!T44,"")</f>
        <v/>
      </c>
      <c r="U44" s="87" t="str">
        <f>IF('G2 MT Reading Scoresheet'!U44&lt;&gt;"",'G2 MT Reading Scoresheet'!U44,"")</f>
        <v/>
      </c>
      <c r="V44" s="271"/>
      <c r="Y44" s="221" t="str">
        <f t="shared" si="0"/>
        <v/>
      </c>
    </row>
    <row r="45" spans="1:25" ht="14.4" x14ac:dyDescent="0.3">
      <c r="A45" s="5">
        <v>35</v>
      </c>
      <c r="B45" s="118" t="str">
        <f>IF('G2 MT Reading Scoresheet'!B45&lt;&gt;"",'G2 MT Reading Scoresheet'!B45,"")</f>
        <v/>
      </c>
      <c r="C45" s="133" t="str">
        <f>IF('G2 MT Reading Scoresheet'!C45&lt;&gt;"",'G2 MT Reading Scoresheet'!C45,"")</f>
        <v/>
      </c>
      <c r="D45" s="134" t="str">
        <f>IF('G2 MT Reading Scoresheet'!D45&lt;&gt;"",'G2 MT Reading Scoresheet'!D45,"")</f>
        <v/>
      </c>
      <c r="E45" s="135" t="str">
        <f>IF('G2 MT Reading Scoresheet'!E45&lt;&gt;"",'G2 MT Reading Scoresheet'!E45,"")</f>
        <v/>
      </c>
      <c r="F45" s="272" t="str">
        <f>IF('G2 MT Reading Scoresheet'!F45&lt;&gt;"",'G2 MT Reading Scoresheet'!F45,"")</f>
        <v/>
      </c>
      <c r="G45" s="262" t="str">
        <f>IF('G2 MT Reading Scoresheet'!G45&lt;&gt;"",'G2 MT Reading Scoresheet'!G45,"")</f>
        <v/>
      </c>
      <c r="H45" s="273" t="str">
        <f>IF('G2 MT Reading Scoresheet'!H45&lt;&gt;"",'G2 MT Reading Scoresheet'!H45,"")</f>
        <v/>
      </c>
      <c r="I45" s="81" t="str">
        <f>IF('G2 MT Reading Scoresheet'!I45&lt;&gt;"",'G2 MT Reading Scoresheet'!I45,"")</f>
        <v/>
      </c>
      <c r="J45" s="82" t="str">
        <f>IF('G2 MT Reading Scoresheet'!J45&lt;&gt;"",'G2 MT Reading Scoresheet'!J45,"")</f>
        <v/>
      </c>
      <c r="K45" s="274" t="str">
        <f>IF('G2 MT Reading Scoresheet'!K45&lt;&gt;"",'G2 MT Reading Scoresheet'!K45,"")</f>
        <v/>
      </c>
      <c r="L45" s="275" t="str">
        <f>IF('G2 MT Reading Scoresheet'!L45&lt;&gt;"",'G2 MT Reading Scoresheet'!L45,"")</f>
        <v/>
      </c>
      <c r="M45" s="118" t="str">
        <f>IF('G2 MT Reading Scoresheet'!M45&lt;&gt;"",'G2 MT Reading Scoresheet'!M45,"")</f>
        <v/>
      </c>
      <c r="N45" s="273" t="str">
        <f>IF('G2 MT Reading Scoresheet'!N45&lt;&gt;"",'G2 MT Reading Scoresheet'!N45,"")</f>
        <v/>
      </c>
      <c r="O45" s="273" t="str">
        <f>IF('G2 MT Reading Scoresheet'!O45&lt;&gt;"",'G2 MT Reading Scoresheet'!O45,"")</f>
        <v/>
      </c>
      <c r="P45" s="118" t="str">
        <f>IF('G2 MT Reading Scoresheet'!P45&lt;&gt;"",'G2 MT Reading Scoresheet'!P45,"")</f>
        <v/>
      </c>
      <c r="Q45" s="122" t="str">
        <f>IF('G2 MT Reading Scoresheet'!Q45&lt;&gt;"",'G2 MT Reading Scoresheet'!Q45,"")</f>
        <v/>
      </c>
      <c r="R45" s="273" t="str">
        <f>IF('G2 MT Reading Scoresheet'!R45&lt;&gt;"",'G2 MT Reading Scoresheet'!R45,"")</f>
        <v/>
      </c>
      <c r="S45" s="273" t="str">
        <f>IF('G2 MT Reading Scoresheet'!S45&lt;&gt;"",'G2 MT Reading Scoresheet'!S45,"")</f>
        <v/>
      </c>
      <c r="T45" s="276" t="str">
        <f>IF('G2 MT Reading Scoresheet'!T45&lt;&gt;"",'G2 MT Reading Scoresheet'!T45,"")</f>
        <v/>
      </c>
      <c r="U45" s="87" t="str">
        <f>IF('G2 MT Reading Scoresheet'!U45&lt;&gt;"",'G2 MT Reading Scoresheet'!U45,"")</f>
        <v/>
      </c>
      <c r="V45" s="277"/>
      <c r="Y45" s="221" t="str">
        <f t="shared" si="0"/>
        <v/>
      </c>
    </row>
    <row r="46" spans="1:25" ht="14.4" x14ac:dyDescent="0.3">
      <c r="A46" s="4">
        <v>36</v>
      </c>
      <c r="B46" s="118" t="str">
        <f>IF('G2 MT Reading Scoresheet'!B46&lt;&gt;"",'G2 MT Reading Scoresheet'!B46,"")</f>
        <v/>
      </c>
      <c r="C46" s="133" t="str">
        <f>IF('G2 MT Reading Scoresheet'!C46&lt;&gt;"",'G2 MT Reading Scoresheet'!C46,"")</f>
        <v/>
      </c>
      <c r="D46" s="134" t="str">
        <f>IF('G2 MT Reading Scoresheet'!D46&lt;&gt;"",'G2 MT Reading Scoresheet'!D46,"")</f>
        <v/>
      </c>
      <c r="E46" s="135" t="str">
        <f>IF('G2 MT Reading Scoresheet'!E46&lt;&gt;"",'G2 MT Reading Scoresheet'!E46,"")</f>
        <v/>
      </c>
      <c r="F46" s="268" t="str">
        <f>IF('G2 MT Reading Scoresheet'!F46&lt;&gt;"",'G2 MT Reading Scoresheet'!F46,"")</f>
        <v/>
      </c>
      <c r="G46" s="269" t="str">
        <f>IF('G2 MT Reading Scoresheet'!G46&lt;&gt;"",'G2 MT Reading Scoresheet'!G46,"")</f>
        <v/>
      </c>
      <c r="H46" s="81" t="str">
        <f>IF('G2 MT Reading Scoresheet'!H46&lt;&gt;"",'G2 MT Reading Scoresheet'!H46,"")</f>
        <v/>
      </c>
      <c r="I46" s="81" t="str">
        <f>IF('G2 MT Reading Scoresheet'!I46&lt;&gt;"",'G2 MT Reading Scoresheet'!I46,"")</f>
        <v/>
      </c>
      <c r="J46" s="82" t="str">
        <f>IF('G2 MT Reading Scoresheet'!J46&lt;&gt;"",'G2 MT Reading Scoresheet'!J46,"")</f>
        <v/>
      </c>
      <c r="K46" s="270" t="str">
        <f>IF('G2 MT Reading Scoresheet'!K46&lt;&gt;"",'G2 MT Reading Scoresheet'!K46,"")</f>
        <v/>
      </c>
      <c r="L46" s="87" t="str">
        <f>IF('G2 MT Reading Scoresheet'!L46&lt;&gt;"",'G2 MT Reading Scoresheet'!L46,"")</f>
        <v/>
      </c>
      <c r="M46" s="118" t="str">
        <f>IF('G2 MT Reading Scoresheet'!M46&lt;&gt;"",'G2 MT Reading Scoresheet'!M46,"")</f>
        <v/>
      </c>
      <c r="N46" s="81" t="str">
        <f>IF('G2 MT Reading Scoresheet'!N46&lt;&gt;"",'G2 MT Reading Scoresheet'!N46,"")</f>
        <v/>
      </c>
      <c r="O46" s="81" t="str">
        <f>IF('G2 MT Reading Scoresheet'!O46&lt;&gt;"",'G2 MT Reading Scoresheet'!O46,"")</f>
        <v/>
      </c>
      <c r="P46" s="118" t="str">
        <f>IF('G2 MT Reading Scoresheet'!P46&lt;&gt;"",'G2 MT Reading Scoresheet'!P46,"")</f>
        <v/>
      </c>
      <c r="Q46" s="122" t="str">
        <f>IF('G2 MT Reading Scoresheet'!Q46&lt;&gt;"",'G2 MT Reading Scoresheet'!Q46,"")</f>
        <v/>
      </c>
      <c r="R46" s="81" t="str">
        <f>IF('G2 MT Reading Scoresheet'!R46&lt;&gt;"",'G2 MT Reading Scoresheet'!R46,"")</f>
        <v/>
      </c>
      <c r="S46" s="81" t="str">
        <f>IF('G2 MT Reading Scoresheet'!S46&lt;&gt;"",'G2 MT Reading Scoresheet'!S46,"")</f>
        <v/>
      </c>
      <c r="T46" s="82" t="str">
        <f>IF('G2 MT Reading Scoresheet'!T46&lt;&gt;"",'G2 MT Reading Scoresheet'!T46,"")</f>
        <v/>
      </c>
      <c r="U46" s="87" t="str">
        <f>IF('G2 MT Reading Scoresheet'!U46&lt;&gt;"",'G2 MT Reading Scoresheet'!U46,"")</f>
        <v/>
      </c>
      <c r="V46" s="271"/>
      <c r="Y46" s="221" t="str">
        <f t="shared" si="0"/>
        <v/>
      </c>
    </row>
    <row r="47" spans="1:25" ht="14.4" x14ac:dyDescent="0.3">
      <c r="A47" s="5">
        <v>37</v>
      </c>
      <c r="B47" s="118" t="str">
        <f>IF('G2 MT Reading Scoresheet'!B47&lt;&gt;"",'G2 MT Reading Scoresheet'!B47,"")</f>
        <v/>
      </c>
      <c r="C47" s="133" t="str">
        <f>IF('G2 MT Reading Scoresheet'!C47&lt;&gt;"",'G2 MT Reading Scoresheet'!C47,"")</f>
        <v/>
      </c>
      <c r="D47" s="134" t="str">
        <f>IF('G2 MT Reading Scoresheet'!D47&lt;&gt;"",'G2 MT Reading Scoresheet'!D47,"")</f>
        <v/>
      </c>
      <c r="E47" s="135" t="str">
        <f>IF('G2 MT Reading Scoresheet'!E47&lt;&gt;"",'G2 MT Reading Scoresheet'!E47,"")</f>
        <v/>
      </c>
      <c r="F47" s="272" t="str">
        <f>IF('G2 MT Reading Scoresheet'!F47&lt;&gt;"",'G2 MT Reading Scoresheet'!F47,"")</f>
        <v/>
      </c>
      <c r="G47" s="262" t="str">
        <f>IF('G2 MT Reading Scoresheet'!G47&lt;&gt;"",'G2 MT Reading Scoresheet'!G47,"")</f>
        <v/>
      </c>
      <c r="H47" s="273" t="str">
        <f>IF('G2 MT Reading Scoresheet'!H47&lt;&gt;"",'G2 MT Reading Scoresheet'!H47,"")</f>
        <v/>
      </c>
      <c r="I47" s="81" t="str">
        <f>IF('G2 MT Reading Scoresheet'!I47&lt;&gt;"",'G2 MT Reading Scoresheet'!I47,"")</f>
        <v/>
      </c>
      <c r="J47" s="82" t="str">
        <f>IF('G2 MT Reading Scoresheet'!J47&lt;&gt;"",'G2 MT Reading Scoresheet'!J47,"")</f>
        <v/>
      </c>
      <c r="K47" s="274" t="str">
        <f>IF('G2 MT Reading Scoresheet'!K47&lt;&gt;"",'G2 MT Reading Scoresheet'!K47,"")</f>
        <v/>
      </c>
      <c r="L47" s="275" t="str">
        <f>IF('G2 MT Reading Scoresheet'!L47&lt;&gt;"",'G2 MT Reading Scoresheet'!L47,"")</f>
        <v/>
      </c>
      <c r="M47" s="118" t="str">
        <f>IF('G2 MT Reading Scoresheet'!M47&lt;&gt;"",'G2 MT Reading Scoresheet'!M47,"")</f>
        <v/>
      </c>
      <c r="N47" s="273" t="str">
        <f>IF('G2 MT Reading Scoresheet'!N47&lt;&gt;"",'G2 MT Reading Scoresheet'!N47,"")</f>
        <v/>
      </c>
      <c r="O47" s="273" t="str">
        <f>IF('G2 MT Reading Scoresheet'!O47&lt;&gt;"",'G2 MT Reading Scoresheet'!O47,"")</f>
        <v/>
      </c>
      <c r="P47" s="118" t="str">
        <f>IF('G2 MT Reading Scoresheet'!P47&lt;&gt;"",'G2 MT Reading Scoresheet'!P47,"")</f>
        <v/>
      </c>
      <c r="Q47" s="122" t="str">
        <f>IF('G2 MT Reading Scoresheet'!Q47&lt;&gt;"",'G2 MT Reading Scoresheet'!Q47,"")</f>
        <v/>
      </c>
      <c r="R47" s="273" t="str">
        <f>IF('G2 MT Reading Scoresheet'!R47&lt;&gt;"",'G2 MT Reading Scoresheet'!R47,"")</f>
        <v/>
      </c>
      <c r="S47" s="273" t="str">
        <f>IF('G2 MT Reading Scoresheet'!S47&lt;&gt;"",'G2 MT Reading Scoresheet'!S47,"")</f>
        <v/>
      </c>
      <c r="T47" s="276" t="str">
        <f>IF('G2 MT Reading Scoresheet'!T47&lt;&gt;"",'G2 MT Reading Scoresheet'!T47,"")</f>
        <v/>
      </c>
      <c r="U47" s="87" t="str">
        <f>IF('G2 MT Reading Scoresheet'!U47&lt;&gt;"",'G2 MT Reading Scoresheet'!U47,"")</f>
        <v/>
      </c>
      <c r="V47" s="277"/>
      <c r="Y47" s="221" t="str">
        <f t="shared" si="0"/>
        <v/>
      </c>
    </row>
    <row r="48" spans="1:25" ht="14.4" x14ac:dyDescent="0.3">
      <c r="A48" s="4">
        <v>38</v>
      </c>
      <c r="B48" s="118" t="str">
        <f>IF('G2 MT Reading Scoresheet'!B48&lt;&gt;"",'G2 MT Reading Scoresheet'!B48,"")</f>
        <v/>
      </c>
      <c r="C48" s="133" t="str">
        <f>IF('G2 MT Reading Scoresheet'!C48&lt;&gt;"",'G2 MT Reading Scoresheet'!C48,"")</f>
        <v/>
      </c>
      <c r="D48" s="134" t="str">
        <f>IF('G2 MT Reading Scoresheet'!D48&lt;&gt;"",'G2 MT Reading Scoresheet'!D48,"")</f>
        <v/>
      </c>
      <c r="E48" s="135" t="str">
        <f>IF('G2 MT Reading Scoresheet'!E48&lt;&gt;"",'G2 MT Reading Scoresheet'!E48,"")</f>
        <v/>
      </c>
      <c r="F48" s="268" t="str">
        <f>IF('G2 MT Reading Scoresheet'!F48&lt;&gt;"",'G2 MT Reading Scoresheet'!F48,"")</f>
        <v/>
      </c>
      <c r="G48" s="269" t="str">
        <f>IF('G2 MT Reading Scoresheet'!G48&lt;&gt;"",'G2 MT Reading Scoresheet'!G48,"")</f>
        <v/>
      </c>
      <c r="H48" s="81" t="str">
        <f>IF('G2 MT Reading Scoresheet'!H48&lt;&gt;"",'G2 MT Reading Scoresheet'!H48,"")</f>
        <v/>
      </c>
      <c r="I48" s="81" t="str">
        <f>IF('G2 MT Reading Scoresheet'!I48&lt;&gt;"",'G2 MT Reading Scoresheet'!I48,"")</f>
        <v/>
      </c>
      <c r="J48" s="82" t="str">
        <f>IF('G2 MT Reading Scoresheet'!J48&lt;&gt;"",'G2 MT Reading Scoresheet'!J48,"")</f>
        <v/>
      </c>
      <c r="K48" s="270" t="str">
        <f>IF('G2 MT Reading Scoresheet'!K48&lt;&gt;"",'G2 MT Reading Scoresheet'!K48,"")</f>
        <v/>
      </c>
      <c r="L48" s="87" t="str">
        <f>IF('G2 MT Reading Scoresheet'!L48&lt;&gt;"",'G2 MT Reading Scoresheet'!L48,"")</f>
        <v/>
      </c>
      <c r="M48" s="118" t="str">
        <f>IF('G2 MT Reading Scoresheet'!M48&lt;&gt;"",'G2 MT Reading Scoresheet'!M48,"")</f>
        <v/>
      </c>
      <c r="N48" s="81" t="str">
        <f>IF('G2 MT Reading Scoresheet'!N48&lt;&gt;"",'G2 MT Reading Scoresheet'!N48,"")</f>
        <v/>
      </c>
      <c r="O48" s="81" t="str">
        <f>IF('G2 MT Reading Scoresheet'!O48&lt;&gt;"",'G2 MT Reading Scoresheet'!O48,"")</f>
        <v/>
      </c>
      <c r="P48" s="118" t="str">
        <f>IF('G2 MT Reading Scoresheet'!P48&lt;&gt;"",'G2 MT Reading Scoresheet'!P48,"")</f>
        <v/>
      </c>
      <c r="Q48" s="122" t="str">
        <f>IF('G2 MT Reading Scoresheet'!Q48&lt;&gt;"",'G2 MT Reading Scoresheet'!Q48,"")</f>
        <v/>
      </c>
      <c r="R48" s="81" t="str">
        <f>IF('G2 MT Reading Scoresheet'!R48&lt;&gt;"",'G2 MT Reading Scoresheet'!R48,"")</f>
        <v/>
      </c>
      <c r="S48" s="81" t="str">
        <f>IF('G2 MT Reading Scoresheet'!S48&lt;&gt;"",'G2 MT Reading Scoresheet'!S48,"")</f>
        <v/>
      </c>
      <c r="T48" s="82" t="str">
        <f>IF('G2 MT Reading Scoresheet'!T48&lt;&gt;"",'G2 MT Reading Scoresheet'!T48,"")</f>
        <v/>
      </c>
      <c r="U48" s="87" t="str">
        <f>IF('G2 MT Reading Scoresheet'!U48&lt;&gt;"",'G2 MT Reading Scoresheet'!U48,"")</f>
        <v/>
      </c>
      <c r="V48" s="271"/>
      <c r="Y48" s="221" t="str">
        <f t="shared" si="0"/>
        <v/>
      </c>
    </row>
    <row r="49" spans="1:25" ht="14.4" x14ac:dyDescent="0.3">
      <c r="A49" s="5">
        <v>39</v>
      </c>
      <c r="B49" s="118" t="str">
        <f>IF('G2 MT Reading Scoresheet'!B49&lt;&gt;"",'G2 MT Reading Scoresheet'!B49,"")</f>
        <v/>
      </c>
      <c r="C49" s="133" t="str">
        <f>IF('G2 MT Reading Scoresheet'!C49&lt;&gt;"",'G2 MT Reading Scoresheet'!C49,"")</f>
        <v/>
      </c>
      <c r="D49" s="134" t="str">
        <f>IF('G2 MT Reading Scoresheet'!D49&lt;&gt;"",'G2 MT Reading Scoresheet'!D49,"")</f>
        <v/>
      </c>
      <c r="E49" s="135" t="str">
        <f>IF('G2 MT Reading Scoresheet'!E49&lt;&gt;"",'G2 MT Reading Scoresheet'!E49,"")</f>
        <v/>
      </c>
      <c r="F49" s="272" t="str">
        <f>IF('G2 MT Reading Scoresheet'!F49&lt;&gt;"",'G2 MT Reading Scoresheet'!F49,"")</f>
        <v/>
      </c>
      <c r="G49" s="262" t="str">
        <f>IF('G2 MT Reading Scoresheet'!G49&lt;&gt;"",'G2 MT Reading Scoresheet'!G49,"")</f>
        <v/>
      </c>
      <c r="H49" s="273" t="str">
        <f>IF('G2 MT Reading Scoresheet'!H49&lt;&gt;"",'G2 MT Reading Scoresheet'!H49,"")</f>
        <v/>
      </c>
      <c r="I49" s="81" t="str">
        <f>IF('G2 MT Reading Scoresheet'!I49&lt;&gt;"",'G2 MT Reading Scoresheet'!I49,"")</f>
        <v/>
      </c>
      <c r="J49" s="82" t="str">
        <f>IF('G2 MT Reading Scoresheet'!J49&lt;&gt;"",'G2 MT Reading Scoresheet'!J49,"")</f>
        <v/>
      </c>
      <c r="K49" s="274" t="str">
        <f>IF('G2 MT Reading Scoresheet'!K49&lt;&gt;"",'G2 MT Reading Scoresheet'!K49,"")</f>
        <v/>
      </c>
      <c r="L49" s="275" t="str">
        <f>IF('G2 MT Reading Scoresheet'!L49&lt;&gt;"",'G2 MT Reading Scoresheet'!L49,"")</f>
        <v/>
      </c>
      <c r="M49" s="118" t="str">
        <f>IF('G2 MT Reading Scoresheet'!M49&lt;&gt;"",'G2 MT Reading Scoresheet'!M49,"")</f>
        <v/>
      </c>
      <c r="N49" s="273" t="str">
        <f>IF('G2 MT Reading Scoresheet'!N49&lt;&gt;"",'G2 MT Reading Scoresheet'!N49,"")</f>
        <v/>
      </c>
      <c r="O49" s="273" t="str">
        <f>IF('G2 MT Reading Scoresheet'!O49&lt;&gt;"",'G2 MT Reading Scoresheet'!O49,"")</f>
        <v/>
      </c>
      <c r="P49" s="118" t="str">
        <f>IF('G2 MT Reading Scoresheet'!P49&lt;&gt;"",'G2 MT Reading Scoresheet'!P49,"")</f>
        <v/>
      </c>
      <c r="Q49" s="122" t="str">
        <f>IF('G2 MT Reading Scoresheet'!Q49&lt;&gt;"",'G2 MT Reading Scoresheet'!Q49,"")</f>
        <v/>
      </c>
      <c r="R49" s="273" t="str">
        <f>IF('G2 MT Reading Scoresheet'!R49&lt;&gt;"",'G2 MT Reading Scoresheet'!R49,"")</f>
        <v/>
      </c>
      <c r="S49" s="273" t="str">
        <f>IF('G2 MT Reading Scoresheet'!S49&lt;&gt;"",'G2 MT Reading Scoresheet'!S49,"")</f>
        <v/>
      </c>
      <c r="T49" s="276" t="str">
        <f>IF('G2 MT Reading Scoresheet'!T49&lt;&gt;"",'G2 MT Reading Scoresheet'!T49,"")</f>
        <v/>
      </c>
      <c r="U49" s="87" t="str">
        <f>IF('G2 MT Reading Scoresheet'!U49&lt;&gt;"",'G2 MT Reading Scoresheet'!U49,"")</f>
        <v/>
      </c>
      <c r="V49" s="277"/>
      <c r="Y49" s="221" t="str">
        <f t="shared" si="0"/>
        <v/>
      </c>
    </row>
    <row r="50" spans="1:25" ht="14.4" x14ac:dyDescent="0.3">
      <c r="A50" s="4">
        <v>40</v>
      </c>
      <c r="B50" s="118" t="str">
        <f>IF('G2 MT Reading Scoresheet'!B50&lt;&gt;"",'G2 MT Reading Scoresheet'!B50,"")</f>
        <v/>
      </c>
      <c r="C50" s="133" t="str">
        <f>IF('G2 MT Reading Scoresheet'!C50&lt;&gt;"",'G2 MT Reading Scoresheet'!C50,"")</f>
        <v/>
      </c>
      <c r="D50" s="134" t="str">
        <f>IF('G2 MT Reading Scoresheet'!D50&lt;&gt;"",'G2 MT Reading Scoresheet'!D50,"")</f>
        <v/>
      </c>
      <c r="E50" s="135" t="str">
        <f>IF('G2 MT Reading Scoresheet'!E50&lt;&gt;"",'G2 MT Reading Scoresheet'!E50,"")</f>
        <v/>
      </c>
      <c r="F50" s="268" t="str">
        <f>IF('G2 MT Reading Scoresheet'!F50&lt;&gt;"",'G2 MT Reading Scoresheet'!F50,"")</f>
        <v/>
      </c>
      <c r="G50" s="269" t="str">
        <f>IF('G2 MT Reading Scoresheet'!G50&lt;&gt;"",'G2 MT Reading Scoresheet'!G50,"")</f>
        <v/>
      </c>
      <c r="H50" s="81" t="str">
        <f>IF('G2 MT Reading Scoresheet'!H50&lt;&gt;"",'G2 MT Reading Scoresheet'!H50,"")</f>
        <v/>
      </c>
      <c r="I50" s="81" t="str">
        <f>IF('G2 MT Reading Scoresheet'!I50&lt;&gt;"",'G2 MT Reading Scoresheet'!I50,"")</f>
        <v/>
      </c>
      <c r="J50" s="82" t="str">
        <f>IF('G2 MT Reading Scoresheet'!J50&lt;&gt;"",'G2 MT Reading Scoresheet'!J50,"")</f>
        <v/>
      </c>
      <c r="K50" s="270" t="str">
        <f>IF('G2 MT Reading Scoresheet'!K50&lt;&gt;"",'G2 MT Reading Scoresheet'!K50,"")</f>
        <v/>
      </c>
      <c r="L50" s="87" t="str">
        <f>IF('G2 MT Reading Scoresheet'!L50&lt;&gt;"",'G2 MT Reading Scoresheet'!L50,"")</f>
        <v/>
      </c>
      <c r="M50" s="118" t="str">
        <f>IF('G2 MT Reading Scoresheet'!M50&lt;&gt;"",'G2 MT Reading Scoresheet'!M50,"")</f>
        <v/>
      </c>
      <c r="N50" s="81" t="str">
        <f>IF('G2 MT Reading Scoresheet'!N50&lt;&gt;"",'G2 MT Reading Scoresheet'!N50,"")</f>
        <v/>
      </c>
      <c r="O50" s="81" t="str">
        <f>IF('G2 MT Reading Scoresheet'!O50&lt;&gt;"",'G2 MT Reading Scoresheet'!O50,"")</f>
        <v/>
      </c>
      <c r="P50" s="118" t="str">
        <f>IF('G2 MT Reading Scoresheet'!P50&lt;&gt;"",'G2 MT Reading Scoresheet'!P50,"")</f>
        <v/>
      </c>
      <c r="Q50" s="122" t="str">
        <f>IF('G2 MT Reading Scoresheet'!Q50&lt;&gt;"",'G2 MT Reading Scoresheet'!Q50,"")</f>
        <v/>
      </c>
      <c r="R50" s="81" t="str">
        <f>IF('G2 MT Reading Scoresheet'!R50&lt;&gt;"",'G2 MT Reading Scoresheet'!R50,"")</f>
        <v/>
      </c>
      <c r="S50" s="81" t="str">
        <f>IF('G2 MT Reading Scoresheet'!S50&lt;&gt;"",'G2 MT Reading Scoresheet'!S50,"")</f>
        <v/>
      </c>
      <c r="T50" s="82" t="str">
        <f>IF('G2 MT Reading Scoresheet'!T50&lt;&gt;"",'G2 MT Reading Scoresheet'!T50,"")</f>
        <v/>
      </c>
      <c r="U50" s="87" t="str">
        <f>IF('G2 MT Reading Scoresheet'!U50&lt;&gt;"",'G2 MT Reading Scoresheet'!U50,"")</f>
        <v/>
      </c>
      <c r="V50" s="271"/>
      <c r="Y50" s="221" t="str">
        <f t="shared" si="0"/>
        <v/>
      </c>
    </row>
    <row r="51" spans="1:25" ht="14.4" x14ac:dyDescent="0.3">
      <c r="A51" s="5">
        <v>41</v>
      </c>
      <c r="B51" s="118" t="str">
        <f>IF('G2 MT Reading Scoresheet'!B51&lt;&gt;"",'G2 MT Reading Scoresheet'!B51,"")</f>
        <v/>
      </c>
      <c r="C51" s="133" t="str">
        <f>IF('G2 MT Reading Scoresheet'!C51&lt;&gt;"",'G2 MT Reading Scoresheet'!C51,"")</f>
        <v/>
      </c>
      <c r="D51" s="134" t="str">
        <f>IF('G2 MT Reading Scoresheet'!D51&lt;&gt;"",'G2 MT Reading Scoresheet'!D51,"")</f>
        <v/>
      </c>
      <c r="E51" s="135" t="str">
        <f>IF('G2 MT Reading Scoresheet'!E51&lt;&gt;"",'G2 MT Reading Scoresheet'!E51,"")</f>
        <v/>
      </c>
      <c r="F51" s="272" t="str">
        <f>IF('G2 MT Reading Scoresheet'!F51&lt;&gt;"",'G2 MT Reading Scoresheet'!F51,"")</f>
        <v/>
      </c>
      <c r="G51" s="262" t="str">
        <f>IF('G2 MT Reading Scoresheet'!G51&lt;&gt;"",'G2 MT Reading Scoresheet'!G51,"")</f>
        <v/>
      </c>
      <c r="H51" s="273" t="str">
        <f>IF('G2 MT Reading Scoresheet'!H51&lt;&gt;"",'G2 MT Reading Scoresheet'!H51,"")</f>
        <v/>
      </c>
      <c r="I51" s="81" t="str">
        <f>IF('G2 MT Reading Scoresheet'!I51&lt;&gt;"",'G2 MT Reading Scoresheet'!I51,"")</f>
        <v/>
      </c>
      <c r="J51" s="82" t="str">
        <f>IF('G2 MT Reading Scoresheet'!J51&lt;&gt;"",'G2 MT Reading Scoresheet'!J51,"")</f>
        <v/>
      </c>
      <c r="K51" s="274" t="str">
        <f>IF('G2 MT Reading Scoresheet'!K51&lt;&gt;"",'G2 MT Reading Scoresheet'!K51,"")</f>
        <v/>
      </c>
      <c r="L51" s="275" t="str">
        <f>IF('G2 MT Reading Scoresheet'!L51&lt;&gt;"",'G2 MT Reading Scoresheet'!L51,"")</f>
        <v/>
      </c>
      <c r="M51" s="118" t="str">
        <f>IF('G2 MT Reading Scoresheet'!M51&lt;&gt;"",'G2 MT Reading Scoresheet'!M51,"")</f>
        <v/>
      </c>
      <c r="N51" s="273" t="str">
        <f>IF('G2 MT Reading Scoresheet'!N51&lt;&gt;"",'G2 MT Reading Scoresheet'!N51,"")</f>
        <v/>
      </c>
      <c r="O51" s="273" t="str">
        <f>IF('G2 MT Reading Scoresheet'!O51&lt;&gt;"",'G2 MT Reading Scoresheet'!O51,"")</f>
        <v/>
      </c>
      <c r="P51" s="118" t="str">
        <f>IF('G2 MT Reading Scoresheet'!P51&lt;&gt;"",'G2 MT Reading Scoresheet'!P51,"")</f>
        <v/>
      </c>
      <c r="Q51" s="122" t="str">
        <f>IF('G2 MT Reading Scoresheet'!Q51&lt;&gt;"",'G2 MT Reading Scoresheet'!Q51,"")</f>
        <v/>
      </c>
      <c r="R51" s="273" t="str">
        <f>IF('G2 MT Reading Scoresheet'!R51&lt;&gt;"",'G2 MT Reading Scoresheet'!R51,"")</f>
        <v/>
      </c>
      <c r="S51" s="273" t="str">
        <f>IF('G2 MT Reading Scoresheet'!S51&lt;&gt;"",'G2 MT Reading Scoresheet'!S51,"")</f>
        <v/>
      </c>
      <c r="T51" s="276" t="str">
        <f>IF('G2 MT Reading Scoresheet'!T51&lt;&gt;"",'G2 MT Reading Scoresheet'!T51,"")</f>
        <v/>
      </c>
      <c r="U51" s="87" t="str">
        <f>IF('G2 MT Reading Scoresheet'!U51&lt;&gt;"",'G2 MT Reading Scoresheet'!U51,"")</f>
        <v/>
      </c>
      <c r="V51" s="277"/>
      <c r="Y51" s="221" t="str">
        <f t="shared" si="0"/>
        <v/>
      </c>
    </row>
    <row r="52" spans="1:25" ht="14.4" x14ac:dyDescent="0.3">
      <c r="A52" s="4">
        <v>42</v>
      </c>
      <c r="B52" s="118" t="str">
        <f>IF('G2 MT Reading Scoresheet'!B52&lt;&gt;"",'G2 MT Reading Scoresheet'!B52,"")</f>
        <v/>
      </c>
      <c r="C52" s="133" t="str">
        <f>IF('G2 MT Reading Scoresheet'!C52&lt;&gt;"",'G2 MT Reading Scoresheet'!C52,"")</f>
        <v/>
      </c>
      <c r="D52" s="134" t="str">
        <f>IF('G2 MT Reading Scoresheet'!D52&lt;&gt;"",'G2 MT Reading Scoresheet'!D52,"")</f>
        <v/>
      </c>
      <c r="E52" s="135" t="str">
        <f>IF('G2 MT Reading Scoresheet'!E52&lt;&gt;"",'G2 MT Reading Scoresheet'!E52,"")</f>
        <v/>
      </c>
      <c r="F52" s="268" t="str">
        <f>IF('G2 MT Reading Scoresheet'!F52&lt;&gt;"",'G2 MT Reading Scoresheet'!F52,"")</f>
        <v/>
      </c>
      <c r="G52" s="269" t="str">
        <f>IF('G2 MT Reading Scoresheet'!G52&lt;&gt;"",'G2 MT Reading Scoresheet'!G52,"")</f>
        <v/>
      </c>
      <c r="H52" s="81" t="str">
        <f>IF('G2 MT Reading Scoresheet'!H52&lt;&gt;"",'G2 MT Reading Scoresheet'!H52,"")</f>
        <v/>
      </c>
      <c r="I52" s="81" t="str">
        <f>IF('G2 MT Reading Scoresheet'!I52&lt;&gt;"",'G2 MT Reading Scoresheet'!I52,"")</f>
        <v/>
      </c>
      <c r="J52" s="82" t="str">
        <f>IF('G2 MT Reading Scoresheet'!J52&lt;&gt;"",'G2 MT Reading Scoresheet'!J52,"")</f>
        <v/>
      </c>
      <c r="K52" s="270" t="str">
        <f>IF('G2 MT Reading Scoresheet'!K52&lt;&gt;"",'G2 MT Reading Scoresheet'!K52,"")</f>
        <v/>
      </c>
      <c r="L52" s="87" t="str">
        <f>IF('G2 MT Reading Scoresheet'!L52&lt;&gt;"",'G2 MT Reading Scoresheet'!L52,"")</f>
        <v/>
      </c>
      <c r="M52" s="118" t="str">
        <f>IF('G2 MT Reading Scoresheet'!M52&lt;&gt;"",'G2 MT Reading Scoresheet'!M52,"")</f>
        <v/>
      </c>
      <c r="N52" s="81" t="str">
        <f>IF('G2 MT Reading Scoresheet'!N52&lt;&gt;"",'G2 MT Reading Scoresheet'!N52,"")</f>
        <v/>
      </c>
      <c r="O52" s="81" t="str">
        <f>IF('G2 MT Reading Scoresheet'!O52&lt;&gt;"",'G2 MT Reading Scoresheet'!O52,"")</f>
        <v/>
      </c>
      <c r="P52" s="118" t="str">
        <f>IF('G2 MT Reading Scoresheet'!P52&lt;&gt;"",'G2 MT Reading Scoresheet'!P52,"")</f>
        <v/>
      </c>
      <c r="Q52" s="122" t="str">
        <f>IF('G2 MT Reading Scoresheet'!Q52&lt;&gt;"",'G2 MT Reading Scoresheet'!Q52,"")</f>
        <v/>
      </c>
      <c r="R52" s="81" t="str">
        <f>IF('G2 MT Reading Scoresheet'!R52&lt;&gt;"",'G2 MT Reading Scoresheet'!R52,"")</f>
        <v/>
      </c>
      <c r="S52" s="81" t="str">
        <f>IF('G2 MT Reading Scoresheet'!S52&lt;&gt;"",'G2 MT Reading Scoresheet'!S52,"")</f>
        <v/>
      </c>
      <c r="T52" s="82" t="str">
        <f>IF('G2 MT Reading Scoresheet'!T52&lt;&gt;"",'G2 MT Reading Scoresheet'!T52,"")</f>
        <v/>
      </c>
      <c r="U52" s="87" t="str">
        <f>IF('G2 MT Reading Scoresheet'!U52&lt;&gt;"",'G2 MT Reading Scoresheet'!U52,"")</f>
        <v/>
      </c>
      <c r="V52" s="271"/>
      <c r="Y52" s="221" t="str">
        <f t="shared" si="0"/>
        <v/>
      </c>
    </row>
    <row r="53" spans="1:25" ht="14.4" x14ac:dyDescent="0.3">
      <c r="A53" s="5">
        <v>43</v>
      </c>
      <c r="B53" s="118" t="str">
        <f>IF('G2 MT Reading Scoresheet'!B53&lt;&gt;"",'G2 MT Reading Scoresheet'!B53,"")</f>
        <v/>
      </c>
      <c r="C53" s="133" t="str">
        <f>IF('G2 MT Reading Scoresheet'!C53&lt;&gt;"",'G2 MT Reading Scoresheet'!C53,"")</f>
        <v/>
      </c>
      <c r="D53" s="134" t="str">
        <f>IF('G2 MT Reading Scoresheet'!D53&lt;&gt;"",'G2 MT Reading Scoresheet'!D53,"")</f>
        <v/>
      </c>
      <c r="E53" s="135" t="str">
        <f>IF('G2 MT Reading Scoresheet'!E53&lt;&gt;"",'G2 MT Reading Scoresheet'!E53,"")</f>
        <v/>
      </c>
      <c r="F53" s="272" t="str">
        <f>IF('G2 MT Reading Scoresheet'!F53&lt;&gt;"",'G2 MT Reading Scoresheet'!F53,"")</f>
        <v/>
      </c>
      <c r="G53" s="262" t="str">
        <f>IF('G2 MT Reading Scoresheet'!G53&lt;&gt;"",'G2 MT Reading Scoresheet'!G53,"")</f>
        <v/>
      </c>
      <c r="H53" s="273" t="str">
        <f>IF('G2 MT Reading Scoresheet'!H53&lt;&gt;"",'G2 MT Reading Scoresheet'!H53,"")</f>
        <v/>
      </c>
      <c r="I53" s="81" t="str">
        <f>IF('G2 MT Reading Scoresheet'!I53&lt;&gt;"",'G2 MT Reading Scoresheet'!I53,"")</f>
        <v/>
      </c>
      <c r="J53" s="82" t="str">
        <f>IF('G2 MT Reading Scoresheet'!J53&lt;&gt;"",'G2 MT Reading Scoresheet'!J53,"")</f>
        <v/>
      </c>
      <c r="K53" s="274" t="str">
        <f>IF('G2 MT Reading Scoresheet'!K53&lt;&gt;"",'G2 MT Reading Scoresheet'!K53,"")</f>
        <v/>
      </c>
      <c r="L53" s="275" t="str">
        <f>IF('G2 MT Reading Scoresheet'!L53&lt;&gt;"",'G2 MT Reading Scoresheet'!L53,"")</f>
        <v/>
      </c>
      <c r="M53" s="118" t="str">
        <f>IF('G2 MT Reading Scoresheet'!M53&lt;&gt;"",'G2 MT Reading Scoresheet'!M53,"")</f>
        <v/>
      </c>
      <c r="N53" s="273" t="str">
        <f>IF('G2 MT Reading Scoresheet'!N53&lt;&gt;"",'G2 MT Reading Scoresheet'!N53,"")</f>
        <v/>
      </c>
      <c r="O53" s="273" t="str">
        <f>IF('G2 MT Reading Scoresheet'!O53&lt;&gt;"",'G2 MT Reading Scoresheet'!O53,"")</f>
        <v/>
      </c>
      <c r="P53" s="118" t="str">
        <f>IF('G2 MT Reading Scoresheet'!P53&lt;&gt;"",'G2 MT Reading Scoresheet'!P53,"")</f>
        <v/>
      </c>
      <c r="Q53" s="122" t="str">
        <f>IF('G2 MT Reading Scoresheet'!Q53&lt;&gt;"",'G2 MT Reading Scoresheet'!Q53,"")</f>
        <v/>
      </c>
      <c r="R53" s="273" t="str">
        <f>IF('G2 MT Reading Scoresheet'!R53&lt;&gt;"",'G2 MT Reading Scoresheet'!R53,"")</f>
        <v/>
      </c>
      <c r="S53" s="273" t="str">
        <f>IF('G2 MT Reading Scoresheet'!S53&lt;&gt;"",'G2 MT Reading Scoresheet'!S53,"")</f>
        <v/>
      </c>
      <c r="T53" s="276" t="str">
        <f>IF('G2 MT Reading Scoresheet'!T53&lt;&gt;"",'G2 MT Reading Scoresheet'!T53,"")</f>
        <v/>
      </c>
      <c r="U53" s="87" t="str">
        <f>IF('G2 MT Reading Scoresheet'!U53&lt;&gt;"",'G2 MT Reading Scoresheet'!U53,"")</f>
        <v/>
      </c>
      <c r="V53" s="277"/>
      <c r="Y53" s="221" t="str">
        <f t="shared" si="0"/>
        <v/>
      </c>
    </row>
    <row r="54" spans="1:25" ht="14.4" x14ac:dyDescent="0.3">
      <c r="A54" s="4">
        <v>44</v>
      </c>
      <c r="B54" s="118" t="str">
        <f>IF('G2 MT Reading Scoresheet'!B54&lt;&gt;"",'G2 MT Reading Scoresheet'!B54,"")</f>
        <v/>
      </c>
      <c r="C54" s="133" t="str">
        <f>IF('G2 MT Reading Scoresheet'!C54&lt;&gt;"",'G2 MT Reading Scoresheet'!C54,"")</f>
        <v/>
      </c>
      <c r="D54" s="134" t="str">
        <f>IF('G2 MT Reading Scoresheet'!D54&lt;&gt;"",'G2 MT Reading Scoresheet'!D54,"")</f>
        <v/>
      </c>
      <c r="E54" s="135" t="str">
        <f>IF('G2 MT Reading Scoresheet'!E54&lt;&gt;"",'G2 MT Reading Scoresheet'!E54,"")</f>
        <v/>
      </c>
      <c r="F54" s="268" t="str">
        <f>IF('G2 MT Reading Scoresheet'!F54&lt;&gt;"",'G2 MT Reading Scoresheet'!F54,"")</f>
        <v/>
      </c>
      <c r="G54" s="269" t="str">
        <f>IF('G2 MT Reading Scoresheet'!G54&lt;&gt;"",'G2 MT Reading Scoresheet'!G54,"")</f>
        <v/>
      </c>
      <c r="H54" s="81" t="str">
        <f>IF('G2 MT Reading Scoresheet'!H54&lt;&gt;"",'G2 MT Reading Scoresheet'!H54,"")</f>
        <v/>
      </c>
      <c r="I54" s="81" t="str">
        <f>IF('G2 MT Reading Scoresheet'!I54&lt;&gt;"",'G2 MT Reading Scoresheet'!I54,"")</f>
        <v/>
      </c>
      <c r="J54" s="82" t="str">
        <f>IF('G2 MT Reading Scoresheet'!J54&lt;&gt;"",'G2 MT Reading Scoresheet'!J54,"")</f>
        <v/>
      </c>
      <c r="K54" s="270" t="str">
        <f>IF('G2 MT Reading Scoresheet'!K54&lt;&gt;"",'G2 MT Reading Scoresheet'!K54,"")</f>
        <v/>
      </c>
      <c r="L54" s="87" t="str">
        <f>IF('G2 MT Reading Scoresheet'!L54&lt;&gt;"",'G2 MT Reading Scoresheet'!L54,"")</f>
        <v/>
      </c>
      <c r="M54" s="118" t="str">
        <f>IF('G2 MT Reading Scoresheet'!M54&lt;&gt;"",'G2 MT Reading Scoresheet'!M54,"")</f>
        <v/>
      </c>
      <c r="N54" s="81" t="str">
        <f>IF('G2 MT Reading Scoresheet'!N54&lt;&gt;"",'G2 MT Reading Scoresheet'!N54,"")</f>
        <v/>
      </c>
      <c r="O54" s="81" t="str">
        <f>IF('G2 MT Reading Scoresheet'!O54&lt;&gt;"",'G2 MT Reading Scoresheet'!O54,"")</f>
        <v/>
      </c>
      <c r="P54" s="118" t="str">
        <f>IF('G2 MT Reading Scoresheet'!P54&lt;&gt;"",'G2 MT Reading Scoresheet'!P54,"")</f>
        <v/>
      </c>
      <c r="Q54" s="122" t="str">
        <f>IF('G2 MT Reading Scoresheet'!Q54&lt;&gt;"",'G2 MT Reading Scoresheet'!Q54,"")</f>
        <v/>
      </c>
      <c r="R54" s="81" t="str">
        <f>IF('G2 MT Reading Scoresheet'!R54&lt;&gt;"",'G2 MT Reading Scoresheet'!R54,"")</f>
        <v/>
      </c>
      <c r="S54" s="81" t="str">
        <f>IF('G2 MT Reading Scoresheet'!S54&lt;&gt;"",'G2 MT Reading Scoresheet'!S54,"")</f>
        <v/>
      </c>
      <c r="T54" s="82" t="str">
        <f>IF('G2 MT Reading Scoresheet'!T54&lt;&gt;"",'G2 MT Reading Scoresheet'!T54,"")</f>
        <v/>
      </c>
      <c r="U54" s="87" t="str">
        <f>IF('G2 MT Reading Scoresheet'!U54&lt;&gt;"",'G2 MT Reading Scoresheet'!U54,"")</f>
        <v/>
      </c>
      <c r="V54" s="271"/>
      <c r="Y54" s="221" t="str">
        <f t="shared" si="0"/>
        <v/>
      </c>
    </row>
    <row r="55" spans="1:25" ht="14.4" x14ac:dyDescent="0.3">
      <c r="A55" s="5">
        <v>45</v>
      </c>
      <c r="B55" s="118" t="str">
        <f>IF('G2 MT Reading Scoresheet'!B55&lt;&gt;"",'G2 MT Reading Scoresheet'!B55,"")</f>
        <v/>
      </c>
      <c r="C55" s="133" t="str">
        <f>IF('G2 MT Reading Scoresheet'!C55&lt;&gt;"",'G2 MT Reading Scoresheet'!C55,"")</f>
        <v/>
      </c>
      <c r="D55" s="134" t="str">
        <f>IF('G2 MT Reading Scoresheet'!D55&lt;&gt;"",'G2 MT Reading Scoresheet'!D55,"")</f>
        <v/>
      </c>
      <c r="E55" s="135" t="str">
        <f>IF('G2 MT Reading Scoresheet'!E55&lt;&gt;"",'G2 MT Reading Scoresheet'!E55,"")</f>
        <v/>
      </c>
      <c r="F55" s="272" t="str">
        <f>IF('G2 MT Reading Scoresheet'!F55&lt;&gt;"",'G2 MT Reading Scoresheet'!F55,"")</f>
        <v/>
      </c>
      <c r="G55" s="262" t="str">
        <f>IF('G2 MT Reading Scoresheet'!G55&lt;&gt;"",'G2 MT Reading Scoresheet'!G55,"")</f>
        <v/>
      </c>
      <c r="H55" s="273" t="str">
        <f>IF('G2 MT Reading Scoresheet'!H55&lt;&gt;"",'G2 MT Reading Scoresheet'!H55,"")</f>
        <v/>
      </c>
      <c r="I55" s="81" t="str">
        <f>IF('G2 MT Reading Scoresheet'!I55&lt;&gt;"",'G2 MT Reading Scoresheet'!I55,"")</f>
        <v/>
      </c>
      <c r="J55" s="82" t="str">
        <f>IF('G2 MT Reading Scoresheet'!J55&lt;&gt;"",'G2 MT Reading Scoresheet'!J55,"")</f>
        <v/>
      </c>
      <c r="K55" s="274" t="str">
        <f>IF('G2 MT Reading Scoresheet'!K55&lt;&gt;"",'G2 MT Reading Scoresheet'!K55,"")</f>
        <v/>
      </c>
      <c r="L55" s="275" t="str">
        <f>IF('G2 MT Reading Scoresheet'!L55&lt;&gt;"",'G2 MT Reading Scoresheet'!L55,"")</f>
        <v/>
      </c>
      <c r="M55" s="118" t="str">
        <f>IF('G2 MT Reading Scoresheet'!M55&lt;&gt;"",'G2 MT Reading Scoresheet'!M55,"")</f>
        <v/>
      </c>
      <c r="N55" s="273" t="str">
        <f>IF('G2 MT Reading Scoresheet'!N55&lt;&gt;"",'G2 MT Reading Scoresheet'!N55,"")</f>
        <v/>
      </c>
      <c r="O55" s="273" t="str">
        <f>IF('G2 MT Reading Scoresheet'!O55&lt;&gt;"",'G2 MT Reading Scoresheet'!O55,"")</f>
        <v/>
      </c>
      <c r="P55" s="118" t="str">
        <f>IF('G2 MT Reading Scoresheet'!P55&lt;&gt;"",'G2 MT Reading Scoresheet'!P55,"")</f>
        <v/>
      </c>
      <c r="Q55" s="122" t="str">
        <f>IF('G2 MT Reading Scoresheet'!Q55&lt;&gt;"",'G2 MT Reading Scoresheet'!Q55,"")</f>
        <v/>
      </c>
      <c r="R55" s="273" t="str">
        <f>IF('G2 MT Reading Scoresheet'!R55&lt;&gt;"",'G2 MT Reading Scoresheet'!R55,"")</f>
        <v/>
      </c>
      <c r="S55" s="273" t="str">
        <f>IF('G2 MT Reading Scoresheet'!S55&lt;&gt;"",'G2 MT Reading Scoresheet'!S55,"")</f>
        <v/>
      </c>
      <c r="T55" s="276" t="str">
        <f>IF('G2 MT Reading Scoresheet'!T55&lt;&gt;"",'G2 MT Reading Scoresheet'!T55,"")</f>
        <v/>
      </c>
      <c r="U55" s="87" t="str">
        <f>IF('G2 MT Reading Scoresheet'!U55&lt;&gt;"",'G2 MT Reading Scoresheet'!U55,"")</f>
        <v/>
      </c>
      <c r="V55" s="277"/>
      <c r="Y55" s="221" t="str">
        <f t="shared" si="0"/>
        <v/>
      </c>
    </row>
    <row r="56" spans="1:25" ht="14.4" x14ac:dyDescent="0.3">
      <c r="A56" s="4">
        <v>46</v>
      </c>
      <c r="B56" s="118" t="str">
        <f>IF('G2 MT Reading Scoresheet'!B56&lt;&gt;"",'G2 MT Reading Scoresheet'!B56,"")</f>
        <v/>
      </c>
      <c r="C56" s="133" t="str">
        <f>IF('G2 MT Reading Scoresheet'!C56&lt;&gt;"",'G2 MT Reading Scoresheet'!C56,"")</f>
        <v/>
      </c>
      <c r="D56" s="134" t="str">
        <f>IF('G2 MT Reading Scoresheet'!D56&lt;&gt;"",'G2 MT Reading Scoresheet'!D56,"")</f>
        <v/>
      </c>
      <c r="E56" s="135" t="str">
        <f>IF('G2 MT Reading Scoresheet'!E56&lt;&gt;"",'G2 MT Reading Scoresheet'!E56,"")</f>
        <v/>
      </c>
      <c r="F56" s="268" t="str">
        <f>IF('G2 MT Reading Scoresheet'!F56&lt;&gt;"",'G2 MT Reading Scoresheet'!F56,"")</f>
        <v/>
      </c>
      <c r="G56" s="269" t="str">
        <f>IF('G2 MT Reading Scoresheet'!G56&lt;&gt;"",'G2 MT Reading Scoresheet'!G56,"")</f>
        <v/>
      </c>
      <c r="H56" s="81" t="str">
        <f>IF('G2 MT Reading Scoresheet'!H56&lt;&gt;"",'G2 MT Reading Scoresheet'!H56,"")</f>
        <v/>
      </c>
      <c r="I56" s="81" t="str">
        <f>IF('G2 MT Reading Scoresheet'!I56&lt;&gt;"",'G2 MT Reading Scoresheet'!I56,"")</f>
        <v/>
      </c>
      <c r="J56" s="82" t="str">
        <f>IF('G2 MT Reading Scoresheet'!J56&lt;&gt;"",'G2 MT Reading Scoresheet'!J56,"")</f>
        <v/>
      </c>
      <c r="K56" s="270" t="str">
        <f>IF('G2 MT Reading Scoresheet'!K56&lt;&gt;"",'G2 MT Reading Scoresheet'!K56,"")</f>
        <v/>
      </c>
      <c r="L56" s="87" t="str">
        <f>IF('G2 MT Reading Scoresheet'!L56&lt;&gt;"",'G2 MT Reading Scoresheet'!L56,"")</f>
        <v/>
      </c>
      <c r="M56" s="118" t="str">
        <f>IF('G2 MT Reading Scoresheet'!M56&lt;&gt;"",'G2 MT Reading Scoresheet'!M56,"")</f>
        <v/>
      </c>
      <c r="N56" s="81" t="str">
        <f>IF('G2 MT Reading Scoresheet'!N56&lt;&gt;"",'G2 MT Reading Scoresheet'!N56,"")</f>
        <v/>
      </c>
      <c r="O56" s="81" t="str">
        <f>IF('G2 MT Reading Scoresheet'!O56&lt;&gt;"",'G2 MT Reading Scoresheet'!O56,"")</f>
        <v/>
      </c>
      <c r="P56" s="118" t="str">
        <f>IF('G2 MT Reading Scoresheet'!P56&lt;&gt;"",'G2 MT Reading Scoresheet'!P56,"")</f>
        <v/>
      </c>
      <c r="Q56" s="122" t="str">
        <f>IF('G2 MT Reading Scoresheet'!Q56&lt;&gt;"",'G2 MT Reading Scoresheet'!Q56,"")</f>
        <v/>
      </c>
      <c r="R56" s="81" t="str">
        <f>IF('G2 MT Reading Scoresheet'!R56&lt;&gt;"",'G2 MT Reading Scoresheet'!R56,"")</f>
        <v/>
      </c>
      <c r="S56" s="81" t="str">
        <f>IF('G2 MT Reading Scoresheet'!S56&lt;&gt;"",'G2 MT Reading Scoresheet'!S56,"")</f>
        <v/>
      </c>
      <c r="T56" s="82" t="str">
        <f>IF('G2 MT Reading Scoresheet'!T56&lt;&gt;"",'G2 MT Reading Scoresheet'!T56,"")</f>
        <v/>
      </c>
      <c r="U56" s="87" t="str">
        <f>IF('G2 MT Reading Scoresheet'!U56&lt;&gt;"",'G2 MT Reading Scoresheet'!U56,"")</f>
        <v/>
      </c>
      <c r="V56" s="271"/>
      <c r="Y56" s="221" t="str">
        <f t="shared" si="0"/>
        <v/>
      </c>
    </row>
    <row r="57" spans="1:25" ht="14.4" x14ac:dyDescent="0.3">
      <c r="A57" s="5">
        <v>47</v>
      </c>
      <c r="B57" s="118" t="str">
        <f>IF('G2 MT Reading Scoresheet'!B57&lt;&gt;"",'G2 MT Reading Scoresheet'!B57,"")</f>
        <v/>
      </c>
      <c r="C57" s="133" t="str">
        <f>IF('G2 MT Reading Scoresheet'!C57&lt;&gt;"",'G2 MT Reading Scoresheet'!C57,"")</f>
        <v/>
      </c>
      <c r="D57" s="134" t="str">
        <f>IF('G2 MT Reading Scoresheet'!D57&lt;&gt;"",'G2 MT Reading Scoresheet'!D57,"")</f>
        <v/>
      </c>
      <c r="E57" s="135" t="str">
        <f>IF('G2 MT Reading Scoresheet'!E57&lt;&gt;"",'G2 MT Reading Scoresheet'!E57,"")</f>
        <v/>
      </c>
      <c r="F57" s="272" t="str">
        <f>IF('G2 MT Reading Scoresheet'!F57&lt;&gt;"",'G2 MT Reading Scoresheet'!F57,"")</f>
        <v/>
      </c>
      <c r="G57" s="262" t="str">
        <f>IF('G2 MT Reading Scoresheet'!G57&lt;&gt;"",'G2 MT Reading Scoresheet'!G57,"")</f>
        <v/>
      </c>
      <c r="H57" s="273" t="str">
        <f>IF('G2 MT Reading Scoresheet'!H57&lt;&gt;"",'G2 MT Reading Scoresheet'!H57,"")</f>
        <v/>
      </c>
      <c r="I57" s="81" t="str">
        <f>IF('G2 MT Reading Scoresheet'!I57&lt;&gt;"",'G2 MT Reading Scoresheet'!I57,"")</f>
        <v/>
      </c>
      <c r="J57" s="82" t="str">
        <f>IF('G2 MT Reading Scoresheet'!J57&lt;&gt;"",'G2 MT Reading Scoresheet'!J57,"")</f>
        <v/>
      </c>
      <c r="K57" s="274" t="str">
        <f>IF('G2 MT Reading Scoresheet'!K57&lt;&gt;"",'G2 MT Reading Scoresheet'!K57,"")</f>
        <v/>
      </c>
      <c r="L57" s="275" t="str">
        <f>IF('G2 MT Reading Scoresheet'!L57&lt;&gt;"",'G2 MT Reading Scoresheet'!L57,"")</f>
        <v/>
      </c>
      <c r="M57" s="118" t="str">
        <f>IF('G2 MT Reading Scoresheet'!M57&lt;&gt;"",'G2 MT Reading Scoresheet'!M57,"")</f>
        <v/>
      </c>
      <c r="N57" s="273" t="str">
        <f>IF('G2 MT Reading Scoresheet'!N57&lt;&gt;"",'G2 MT Reading Scoresheet'!N57,"")</f>
        <v/>
      </c>
      <c r="O57" s="273" t="str">
        <f>IF('G2 MT Reading Scoresheet'!O57&lt;&gt;"",'G2 MT Reading Scoresheet'!O57,"")</f>
        <v/>
      </c>
      <c r="P57" s="118" t="str">
        <f>IF('G2 MT Reading Scoresheet'!P57&lt;&gt;"",'G2 MT Reading Scoresheet'!P57,"")</f>
        <v/>
      </c>
      <c r="Q57" s="122" t="str">
        <f>IF('G2 MT Reading Scoresheet'!Q57&lt;&gt;"",'G2 MT Reading Scoresheet'!Q57,"")</f>
        <v/>
      </c>
      <c r="R57" s="273" t="str">
        <f>IF('G2 MT Reading Scoresheet'!R57&lt;&gt;"",'G2 MT Reading Scoresheet'!R57,"")</f>
        <v/>
      </c>
      <c r="S57" s="273" t="str">
        <f>IF('G2 MT Reading Scoresheet'!S57&lt;&gt;"",'G2 MT Reading Scoresheet'!S57,"")</f>
        <v/>
      </c>
      <c r="T57" s="276" t="str">
        <f>IF('G2 MT Reading Scoresheet'!T57&lt;&gt;"",'G2 MT Reading Scoresheet'!T57,"")</f>
        <v/>
      </c>
      <c r="U57" s="87" t="str">
        <f>IF('G2 MT Reading Scoresheet'!U57&lt;&gt;"",'G2 MT Reading Scoresheet'!U57,"")</f>
        <v/>
      </c>
      <c r="V57" s="277"/>
      <c r="Y57" s="221" t="str">
        <f t="shared" si="0"/>
        <v/>
      </c>
    </row>
    <row r="58" spans="1:25" ht="14.4" x14ac:dyDescent="0.3">
      <c r="A58" s="4">
        <v>48</v>
      </c>
      <c r="B58" s="118" t="str">
        <f>IF('G2 MT Reading Scoresheet'!B58&lt;&gt;"",'G2 MT Reading Scoresheet'!B58,"")</f>
        <v/>
      </c>
      <c r="C58" s="133" t="str">
        <f>IF('G2 MT Reading Scoresheet'!C58&lt;&gt;"",'G2 MT Reading Scoresheet'!C58,"")</f>
        <v/>
      </c>
      <c r="D58" s="134" t="str">
        <f>IF('G2 MT Reading Scoresheet'!D58&lt;&gt;"",'G2 MT Reading Scoresheet'!D58,"")</f>
        <v/>
      </c>
      <c r="E58" s="135" t="str">
        <f>IF('G2 MT Reading Scoresheet'!E58&lt;&gt;"",'G2 MT Reading Scoresheet'!E58,"")</f>
        <v/>
      </c>
      <c r="F58" s="268" t="str">
        <f>IF('G2 MT Reading Scoresheet'!F58&lt;&gt;"",'G2 MT Reading Scoresheet'!F58,"")</f>
        <v/>
      </c>
      <c r="G58" s="269" t="str">
        <f>IF('G2 MT Reading Scoresheet'!G58&lt;&gt;"",'G2 MT Reading Scoresheet'!G58,"")</f>
        <v/>
      </c>
      <c r="H58" s="81" t="str">
        <f>IF('G2 MT Reading Scoresheet'!H58&lt;&gt;"",'G2 MT Reading Scoresheet'!H58,"")</f>
        <v/>
      </c>
      <c r="I58" s="81" t="str">
        <f>IF('G2 MT Reading Scoresheet'!I58&lt;&gt;"",'G2 MT Reading Scoresheet'!I58,"")</f>
        <v/>
      </c>
      <c r="J58" s="82" t="str">
        <f>IF('G2 MT Reading Scoresheet'!J58&lt;&gt;"",'G2 MT Reading Scoresheet'!J58,"")</f>
        <v/>
      </c>
      <c r="K58" s="270" t="str">
        <f>IF('G2 MT Reading Scoresheet'!K58&lt;&gt;"",'G2 MT Reading Scoresheet'!K58,"")</f>
        <v/>
      </c>
      <c r="L58" s="87" t="str">
        <f>IF('G2 MT Reading Scoresheet'!L58&lt;&gt;"",'G2 MT Reading Scoresheet'!L58,"")</f>
        <v/>
      </c>
      <c r="M58" s="118" t="str">
        <f>IF('G2 MT Reading Scoresheet'!M58&lt;&gt;"",'G2 MT Reading Scoresheet'!M58,"")</f>
        <v/>
      </c>
      <c r="N58" s="81" t="str">
        <f>IF('G2 MT Reading Scoresheet'!N58&lt;&gt;"",'G2 MT Reading Scoresheet'!N58,"")</f>
        <v/>
      </c>
      <c r="O58" s="81" t="str">
        <f>IF('G2 MT Reading Scoresheet'!O58&lt;&gt;"",'G2 MT Reading Scoresheet'!O58,"")</f>
        <v/>
      </c>
      <c r="P58" s="118" t="str">
        <f>IF('G2 MT Reading Scoresheet'!P58&lt;&gt;"",'G2 MT Reading Scoresheet'!P58,"")</f>
        <v/>
      </c>
      <c r="Q58" s="122" t="str">
        <f>IF('G2 MT Reading Scoresheet'!Q58&lt;&gt;"",'G2 MT Reading Scoresheet'!Q58,"")</f>
        <v/>
      </c>
      <c r="R58" s="81" t="str">
        <f>IF('G2 MT Reading Scoresheet'!R58&lt;&gt;"",'G2 MT Reading Scoresheet'!R58,"")</f>
        <v/>
      </c>
      <c r="S58" s="81" t="str">
        <f>IF('G2 MT Reading Scoresheet'!S58&lt;&gt;"",'G2 MT Reading Scoresheet'!S58,"")</f>
        <v/>
      </c>
      <c r="T58" s="82" t="str">
        <f>IF('G2 MT Reading Scoresheet'!T58&lt;&gt;"",'G2 MT Reading Scoresheet'!T58,"")</f>
        <v/>
      </c>
      <c r="U58" s="87" t="str">
        <f>IF('G2 MT Reading Scoresheet'!U58&lt;&gt;"",'G2 MT Reading Scoresheet'!U58,"")</f>
        <v/>
      </c>
      <c r="V58" s="271"/>
      <c r="Y58" s="221" t="str">
        <f t="shared" si="0"/>
        <v/>
      </c>
    </row>
    <row r="59" spans="1:25" ht="14.4" x14ac:dyDescent="0.3">
      <c r="A59" s="5">
        <v>49</v>
      </c>
      <c r="B59" s="118" t="str">
        <f>IF('G2 MT Reading Scoresheet'!B59&lt;&gt;"",'G2 MT Reading Scoresheet'!B59,"")</f>
        <v/>
      </c>
      <c r="C59" s="133" t="str">
        <f>IF('G2 MT Reading Scoresheet'!C59&lt;&gt;"",'G2 MT Reading Scoresheet'!C59,"")</f>
        <v/>
      </c>
      <c r="D59" s="134" t="str">
        <f>IF('G2 MT Reading Scoresheet'!D59&lt;&gt;"",'G2 MT Reading Scoresheet'!D59,"")</f>
        <v/>
      </c>
      <c r="E59" s="135" t="str">
        <f>IF('G2 MT Reading Scoresheet'!E59&lt;&gt;"",'G2 MT Reading Scoresheet'!E59,"")</f>
        <v/>
      </c>
      <c r="F59" s="272" t="str">
        <f>IF('G2 MT Reading Scoresheet'!F59&lt;&gt;"",'G2 MT Reading Scoresheet'!F59,"")</f>
        <v/>
      </c>
      <c r="G59" s="262" t="str">
        <f>IF('G2 MT Reading Scoresheet'!G59&lt;&gt;"",'G2 MT Reading Scoresheet'!G59,"")</f>
        <v/>
      </c>
      <c r="H59" s="273" t="str">
        <f>IF('G2 MT Reading Scoresheet'!H59&lt;&gt;"",'G2 MT Reading Scoresheet'!H59,"")</f>
        <v/>
      </c>
      <c r="I59" s="81" t="str">
        <f>IF('G2 MT Reading Scoresheet'!I59&lt;&gt;"",'G2 MT Reading Scoresheet'!I59,"")</f>
        <v/>
      </c>
      <c r="J59" s="82" t="str">
        <f>IF('G2 MT Reading Scoresheet'!J59&lt;&gt;"",'G2 MT Reading Scoresheet'!J59,"")</f>
        <v/>
      </c>
      <c r="K59" s="274" t="str">
        <f>IF('G2 MT Reading Scoresheet'!K59&lt;&gt;"",'G2 MT Reading Scoresheet'!K59,"")</f>
        <v/>
      </c>
      <c r="L59" s="275" t="str">
        <f>IF('G2 MT Reading Scoresheet'!L59&lt;&gt;"",'G2 MT Reading Scoresheet'!L59,"")</f>
        <v/>
      </c>
      <c r="M59" s="118" t="str">
        <f>IF('G2 MT Reading Scoresheet'!M59&lt;&gt;"",'G2 MT Reading Scoresheet'!M59,"")</f>
        <v/>
      </c>
      <c r="N59" s="273" t="str">
        <f>IF('G2 MT Reading Scoresheet'!N59&lt;&gt;"",'G2 MT Reading Scoresheet'!N59,"")</f>
        <v/>
      </c>
      <c r="O59" s="273" t="str">
        <f>IF('G2 MT Reading Scoresheet'!O59&lt;&gt;"",'G2 MT Reading Scoresheet'!O59,"")</f>
        <v/>
      </c>
      <c r="P59" s="118" t="str">
        <f>IF('G2 MT Reading Scoresheet'!P59&lt;&gt;"",'G2 MT Reading Scoresheet'!P59,"")</f>
        <v/>
      </c>
      <c r="Q59" s="122" t="str">
        <f>IF('G2 MT Reading Scoresheet'!Q59&lt;&gt;"",'G2 MT Reading Scoresheet'!Q59,"")</f>
        <v/>
      </c>
      <c r="R59" s="273" t="str">
        <f>IF('G2 MT Reading Scoresheet'!R59&lt;&gt;"",'G2 MT Reading Scoresheet'!R59,"")</f>
        <v/>
      </c>
      <c r="S59" s="273" t="str">
        <f>IF('G2 MT Reading Scoresheet'!S59&lt;&gt;"",'G2 MT Reading Scoresheet'!S59,"")</f>
        <v/>
      </c>
      <c r="T59" s="276" t="str">
        <f>IF('G2 MT Reading Scoresheet'!T59&lt;&gt;"",'G2 MT Reading Scoresheet'!T59,"")</f>
        <v/>
      </c>
      <c r="U59" s="87" t="str">
        <f>IF('G2 MT Reading Scoresheet'!U59&lt;&gt;"",'G2 MT Reading Scoresheet'!U59,"")</f>
        <v/>
      </c>
      <c r="V59" s="277"/>
      <c r="Y59" s="221" t="str">
        <f t="shared" si="0"/>
        <v/>
      </c>
    </row>
    <row r="60" spans="1:25" ht="14.4" x14ac:dyDescent="0.3">
      <c r="A60" s="4">
        <v>50</v>
      </c>
      <c r="B60" s="118" t="str">
        <f>IF('G2 MT Reading Scoresheet'!B60&lt;&gt;"",'G2 MT Reading Scoresheet'!B60,"")</f>
        <v/>
      </c>
      <c r="C60" s="133" t="str">
        <f>IF('G2 MT Reading Scoresheet'!C60&lt;&gt;"",'G2 MT Reading Scoresheet'!C60,"")</f>
        <v/>
      </c>
      <c r="D60" s="134" t="str">
        <f>IF('G2 MT Reading Scoresheet'!D60&lt;&gt;"",'G2 MT Reading Scoresheet'!D60,"")</f>
        <v/>
      </c>
      <c r="E60" s="135" t="str">
        <f>IF('G2 MT Reading Scoresheet'!E60&lt;&gt;"",'G2 MT Reading Scoresheet'!E60,"")</f>
        <v/>
      </c>
      <c r="F60" s="268" t="str">
        <f>IF('G2 MT Reading Scoresheet'!F60&lt;&gt;"",'G2 MT Reading Scoresheet'!F60,"")</f>
        <v/>
      </c>
      <c r="G60" s="269" t="str">
        <f>IF('G2 MT Reading Scoresheet'!G60&lt;&gt;"",'G2 MT Reading Scoresheet'!G60,"")</f>
        <v/>
      </c>
      <c r="H60" s="81" t="str">
        <f>IF('G2 MT Reading Scoresheet'!H60&lt;&gt;"",'G2 MT Reading Scoresheet'!H60,"")</f>
        <v/>
      </c>
      <c r="I60" s="81" t="str">
        <f>IF('G2 MT Reading Scoresheet'!I60&lt;&gt;"",'G2 MT Reading Scoresheet'!I60,"")</f>
        <v/>
      </c>
      <c r="J60" s="82" t="str">
        <f>IF('G2 MT Reading Scoresheet'!J60&lt;&gt;"",'G2 MT Reading Scoresheet'!J60,"")</f>
        <v/>
      </c>
      <c r="K60" s="270" t="str">
        <f>IF('G2 MT Reading Scoresheet'!K60&lt;&gt;"",'G2 MT Reading Scoresheet'!K60,"")</f>
        <v/>
      </c>
      <c r="L60" s="87" t="str">
        <f>IF('G2 MT Reading Scoresheet'!L60&lt;&gt;"",'G2 MT Reading Scoresheet'!L60,"")</f>
        <v/>
      </c>
      <c r="M60" s="118" t="str">
        <f>IF('G2 MT Reading Scoresheet'!M60&lt;&gt;"",'G2 MT Reading Scoresheet'!M60,"")</f>
        <v/>
      </c>
      <c r="N60" s="81" t="str">
        <f>IF('G2 MT Reading Scoresheet'!N60&lt;&gt;"",'G2 MT Reading Scoresheet'!N60,"")</f>
        <v/>
      </c>
      <c r="O60" s="81" t="str">
        <f>IF('G2 MT Reading Scoresheet'!O60&lt;&gt;"",'G2 MT Reading Scoresheet'!O60,"")</f>
        <v/>
      </c>
      <c r="P60" s="118" t="str">
        <f>IF('G2 MT Reading Scoresheet'!P60&lt;&gt;"",'G2 MT Reading Scoresheet'!P60,"")</f>
        <v/>
      </c>
      <c r="Q60" s="122" t="str">
        <f>IF('G2 MT Reading Scoresheet'!Q60&lt;&gt;"",'G2 MT Reading Scoresheet'!Q60,"")</f>
        <v/>
      </c>
      <c r="R60" s="81" t="str">
        <f>IF('G2 MT Reading Scoresheet'!R60&lt;&gt;"",'G2 MT Reading Scoresheet'!R60,"")</f>
        <v/>
      </c>
      <c r="S60" s="81" t="str">
        <f>IF('G2 MT Reading Scoresheet'!S60&lt;&gt;"",'G2 MT Reading Scoresheet'!S60,"")</f>
        <v/>
      </c>
      <c r="T60" s="82" t="str">
        <f>IF('G2 MT Reading Scoresheet'!T60&lt;&gt;"",'G2 MT Reading Scoresheet'!T60,"")</f>
        <v/>
      </c>
      <c r="U60" s="87" t="str">
        <f>IF('G2 MT Reading Scoresheet'!U60&lt;&gt;"",'G2 MT Reading Scoresheet'!U60,"")</f>
        <v/>
      </c>
      <c r="V60" s="271"/>
      <c r="Y60" s="221" t="str">
        <f t="shared" si="0"/>
        <v/>
      </c>
    </row>
    <row r="61" spans="1:25" ht="14.4" x14ac:dyDescent="0.3">
      <c r="A61" s="5">
        <v>51</v>
      </c>
      <c r="B61" s="118" t="str">
        <f>IF('G2 MT Reading Scoresheet'!B61&lt;&gt;"",'G2 MT Reading Scoresheet'!B61,"")</f>
        <v/>
      </c>
      <c r="C61" s="133" t="str">
        <f>IF('G2 MT Reading Scoresheet'!C61&lt;&gt;"",'G2 MT Reading Scoresheet'!C61,"")</f>
        <v/>
      </c>
      <c r="D61" s="134" t="str">
        <f>IF('G2 MT Reading Scoresheet'!D61&lt;&gt;"",'G2 MT Reading Scoresheet'!D61,"")</f>
        <v/>
      </c>
      <c r="E61" s="135" t="str">
        <f>IF('G2 MT Reading Scoresheet'!E61&lt;&gt;"",'G2 MT Reading Scoresheet'!E61,"")</f>
        <v/>
      </c>
      <c r="F61" s="272" t="str">
        <f>IF('G2 MT Reading Scoresheet'!F61&lt;&gt;"",'G2 MT Reading Scoresheet'!F61,"")</f>
        <v/>
      </c>
      <c r="G61" s="262" t="str">
        <f>IF('G2 MT Reading Scoresheet'!G61&lt;&gt;"",'G2 MT Reading Scoresheet'!G61,"")</f>
        <v/>
      </c>
      <c r="H61" s="273" t="str">
        <f>IF('G2 MT Reading Scoresheet'!H61&lt;&gt;"",'G2 MT Reading Scoresheet'!H61,"")</f>
        <v/>
      </c>
      <c r="I61" s="81" t="str">
        <f>IF('G2 MT Reading Scoresheet'!I61&lt;&gt;"",'G2 MT Reading Scoresheet'!I61,"")</f>
        <v/>
      </c>
      <c r="J61" s="82" t="str">
        <f>IF('G2 MT Reading Scoresheet'!J61&lt;&gt;"",'G2 MT Reading Scoresheet'!J61,"")</f>
        <v/>
      </c>
      <c r="K61" s="274" t="str">
        <f>IF('G2 MT Reading Scoresheet'!K61&lt;&gt;"",'G2 MT Reading Scoresheet'!K61,"")</f>
        <v/>
      </c>
      <c r="L61" s="275" t="str">
        <f>IF('G2 MT Reading Scoresheet'!L61&lt;&gt;"",'G2 MT Reading Scoresheet'!L61,"")</f>
        <v/>
      </c>
      <c r="M61" s="118" t="str">
        <f>IF('G2 MT Reading Scoresheet'!M61&lt;&gt;"",'G2 MT Reading Scoresheet'!M61,"")</f>
        <v/>
      </c>
      <c r="N61" s="273" t="str">
        <f>IF('G2 MT Reading Scoresheet'!N61&lt;&gt;"",'G2 MT Reading Scoresheet'!N61,"")</f>
        <v/>
      </c>
      <c r="O61" s="273" t="str">
        <f>IF('G2 MT Reading Scoresheet'!O61&lt;&gt;"",'G2 MT Reading Scoresheet'!O61,"")</f>
        <v/>
      </c>
      <c r="P61" s="118" t="str">
        <f>IF('G2 MT Reading Scoresheet'!P61&lt;&gt;"",'G2 MT Reading Scoresheet'!P61,"")</f>
        <v/>
      </c>
      <c r="Q61" s="122" t="str">
        <f>IF('G2 MT Reading Scoresheet'!Q61&lt;&gt;"",'G2 MT Reading Scoresheet'!Q61,"")</f>
        <v/>
      </c>
      <c r="R61" s="273" t="str">
        <f>IF('G2 MT Reading Scoresheet'!R61&lt;&gt;"",'G2 MT Reading Scoresheet'!R61,"")</f>
        <v/>
      </c>
      <c r="S61" s="273" t="str">
        <f>IF('G2 MT Reading Scoresheet'!S61&lt;&gt;"",'G2 MT Reading Scoresheet'!S61,"")</f>
        <v/>
      </c>
      <c r="T61" s="276" t="str">
        <f>IF('G2 MT Reading Scoresheet'!T61&lt;&gt;"",'G2 MT Reading Scoresheet'!T61,"")</f>
        <v/>
      </c>
      <c r="U61" s="87" t="str">
        <f>IF('G2 MT Reading Scoresheet'!U61&lt;&gt;"",'G2 MT Reading Scoresheet'!U61,"")</f>
        <v/>
      </c>
      <c r="V61" s="277"/>
      <c r="Y61" s="221" t="str">
        <f t="shared" si="0"/>
        <v/>
      </c>
    </row>
    <row r="62" spans="1:25" ht="14.4" x14ac:dyDescent="0.3">
      <c r="A62" s="4">
        <v>52</v>
      </c>
      <c r="B62" s="118" t="str">
        <f>IF('G2 MT Reading Scoresheet'!B62&lt;&gt;"",'G2 MT Reading Scoresheet'!B62,"")</f>
        <v/>
      </c>
      <c r="C62" s="133" t="str">
        <f>IF('G2 MT Reading Scoresheet'!C62&lt;&gt;"",'G2 MT Reading Scoresheet'!C62,"")</f>
        <v/>
      </c>
      <c r="D62" s="134" t="str">
        <f>IF('G2 MT Reading Scoresheet'!D62&lt;&gt;"",'G2 MT Reading Scoresheet'!D62,"")</f>
        <v/>
      </c>
      <c r="E62" s="135" t="str">
        <f>IF('G2 MT Reading Scoresheet'!E62&lt;&gt;"",'G2 MT Reading Scoresheet'!E62,"")</f>
        <v/>
      </c>
      <c r="F62" s="268" t="str">
        <f>IF('G2 MT Reading Scoresheet'!F62&lt;&gt;"",'G2 MT Reading Scoresheet'!F62,"")</f>
        <v/>
      </c>
      <c r="G62" s="269" t="str">
        <f>IF('G2 MT Reading Scoresheet'!G62&lt;&gt;"",'G2 MT Reading Scoresheet'!G62,"")</f>
        <v/>
      </c>
      <c r="H62" s="81" t="str">
        <f>IF('G2 MT Reading Scoresheet'!H62&lt;&gt;"",'G2 MT Reading Scoresheet'!H62,"")</f>
        <v/>
      </c>
      <c r="I62" s="81" t="str">
        <f>IF('G2 MT Reading Scoresheet'!I62&lt;&gt;"",'G2 MT Reading Scoresheet'!I62,"")</f>
        <v/>
      </c>
      <c r="J62" s="82" t="str">
        <f>IF('G2 MT Reading Scoresheet'!J62&lt;&gt;"",'G2 MT Reading Scoresheet'!J62,"")</f>
        <v/>
      </c>
      <c r="K62" s="270" t="str">
        <f>IF('G2 MT Reading Scoresheet'!K62&lt;&gt;"",'G2 MT Reading Scoresheet'!K62,"")</f>
        <v/>
      </c>
      <c r="L62" s="87" t="str">
        <f>IF('G2 MT Reading Scoresheet'!L62&lt;&gt;"",'G2 MT Reading Scoresheet'!L62,"")</f>
        <v/>
      </c>
      <c r="M62" s="118" t="str">
        <f>IF('G2 MT Reading Scoresheet'!M62&lt;&gt;"",'G2 MT Reading Scoresheet'!M62,"")</f>
        <v/>
      </c>
      <c r="N62" s="81" t="str">
        <f>IF('G2 MT Reading Scoresheet'!N62&lt;&gt;"",'G2 MT Reading Scoresheet'!N62,"")</f>
        <v/>
      </c>
      <c r="O62" s="81" t="str">
        <f>IF('G2 MT Reading Scoresheet'!O62&lt;&gt;"",'G2 MT Reading Scoresheet'!O62,"")</f>
        <v/>
      </c>
      <c r="P62" s="118" t="str">
        <f>IF('G2 MT Reading Scoresheet'!P62&lt;&gt;"",'G2 MT Reading Scoresheet'!P62,"")</f>
        <v/>
      </c>
      <c r="Q62" s="122" t="str">
        <f>IF('G2 MT Reading Scoresheet'!Q62&lt;&gt;"",'G2 MT Reading Scoresheet'!Q62,"")</f>
        <v/>
      </c>
      <c r="R62" s="81" t="str">
        <f>IF('G2 MT Reading Scoresheet'!R62&lt;&gt;"",'G2 MT Reading Scoresheet'!R62,"")</f>
        <v/>
      </c>
      <c r="S62" s="81" t="str">
        <f>IF('G2 MT Reading Scoresheet'!S62&lt;&gt;"",'G2 MT Reading Scoresheet'!S62,"")</f>
        <v/>
      </c>
      <c r="T62" s="82" t="str">
        <f>IF('G2 MT Reading Scoresheet'!T62&lt;&gt;"",'G2 MT Reading Scoresheet'!T62,"")</f>
        <v/>
      </c>
      <c r="U62" s="87" t="str">
        <f>IF('G2 MT Reading Scoresheet'!U62&lt;&gt;"",'G2 MT Reading Scoresheet'!U62,"")</f>
        <v/>
      </c>
      <c r="V62" s="271"/>
      <c r="Y62" s="221" t="str">
        <f t="shared" si="0"/>
        <v/>
      </c>
    </row>
    <row r="63" spans="1:25" ht="14.4" x14ac:dyDescent="0.3">
      <c r="A63" s="5">
        <v>53</v>
      </c>
      <c r="B63" s="118" t="str">
        <f>IF('G2 MT Reading Scoresheet'!B63&lt;&gt;"",'G2 MT Reading Scoresheet'!B63,"")</f>
        <v/>
      </c>
      <c r="C63" s="133" t="str">
        <f>IF('G2 MT Reading Scoresheet'!C63&lt;&gt;"",'G2 MT Reading Scoresheet'!C63,"")</f>
        <v/>
      </c>
      <c r="D63" s="134" t="str">
        <f>IF('G2 MT Reading Scoresheet'!D63&lt;&gt;"",'G2 MT Reading Scoresheet'!D63,"")</f>
        <v/>
      </c>
      <c r="E63" s="135" t="str">
        <f>IF('G2 MT Reading Scoresheet'!E63&lt;&gt;"",'G2 MT Reading Scoresheet'!E63,"")</f>
        <v/>
      </c>
      <c r="F63" s="272" t="str">
        <f>IF('G2 MT Reading Scoresheet'!F63&lt;&gt;"",'G2 MT Reading Scoresheet'!F63,"")</f>
        <v/>
      </c>
      <c r="G63" s="262" t="str">
        <f>IF('G2 MT Reading Scoresheet'!G63&lt;&gt;"",'G2 MT Reading Scoresheet'!G63,"")</f>
        <v/>
      </c>
      <c r="H63" s="273" t="str">
        <f>IF('G2 MT Reading Scoresheet'!H63&lt;&gt;"",'G2 MT Reading Scoresheet'!H63,"")</f>
        <v/>
      </c>
      <c r="I63" s="81" t="str">
        <f>IF('G2 MT Reading Scoresheet'!I63&lt;&gt;"",'G2 MT Reading Scoresheet'!I63,"")</f>
        <v/>
      </c>
      <c r="J63" s="82" t="str">
        <f>IF('G2 MT Reading Scoresheet'!J63&lt;&gt;"",'G2 MT Reading Scoresheet'!J63,"")</f>
        <v/>
      </c>
      <c r="K63" s="274" t="str">
        <f>IF('G2 MT Reading Scoresheet'!K63&lt;&gt;"",'G2 MT Reading Scoresheet'!K63,"")</f>
        <v/>
      </c>
      <c r="L63" s="275" t="str">
        <f>IF('G2 MT Reading Scoresheet'!L63&lt;&gt;"",'G2 MT Reading Scoresheet'!L63,"")</f>
        <v/>
      </c>
      <c r="M63" s="118" t="str">
        <f>IF('G2 MT Reading Scoresheet'!M63&lt;&gt;"",'G2 MT Reading Scoresheet'!M63,"")</f>
        <v/>
      </c>
      <c r="N63" s="273" t="str">
        <f>IF('G2 MT Reading Scoresheet'!N63&lt;&gt;"",'G2 MT Reading Scoresheet'!N63,"")</f>
        <v/>
      </c>
      <c r="O63" s="273" t="str">
        <f>IF('G2 MT Reading Scoresheet'!O63&lt;&gt;"",'G2 MT Reading Scoresheet'!O63,"")</f>
        <v/>
      </c>
      <c r="P63" s="118" t="str">
        <f>IF('G2 MT Reading Scoresheet'!P63&lt;&gt;"",'G2 MT Reading Scoresheet'!P63,"")</f>
        <v/>
      </c>
      <c r="Q63" s="122" t="str">
        <f>IF('G2 MT Reading Scoresheet'!Q63&lt;&gt;"",'G2 MT Reading Scoresheet'!Q63,"")</f>
        <v/>
      </c>
      <c r="R63" s="273" t="str">
        <f>IF('G2 MT Reading Scoresheet'!R63&lt;&gt;"",'G2 MT Reading Scoresheet'!R63,"")</f>
        <v/>
      </c>
      <c r="S63" s="273" t="str">
        <f>IF('G2 MT Reading Scoresheet'!S63&lt;&gt;"",'G2 MT Reading Scoresheet'!S63,"")</f>
        <v/>
      </c>
      <c r="T63" s="276" t="str">
        <f>IF('G2 MT Reading Scoresheet'!T63&lt;&gt;"",'G2 MT Reading Scoresheet'!T63,"")</f>
        <v/>
      </c>
      <c r="U63" s="87" t="str">
        <f>IF('G2 MT Reading Scoresheet'!U63&lt;&gt;"",'G2 MT Reading Scoresheet'!U63,"")</f>
        <v/>
      </c>
      <c r="V63" s="277"/>
      <c r="Y63" s="221" t="str">
        <f t="shared" si="0"/>
        <v/>
      </c>
    </row>
    <row r="64" spans="1:25" ht="14.4" x14ac:dyDescent="0.3">
      <c r="A64" s="4">
        <v>54</v>
      </c>
      <c r="B64" s="118" t="str">
        <f>IF('G2 MT Reading Scoresheet'!B64&lt;&gt;"",'G2 MT Reading Scoresheet'!B64,"")</f>
        <v/>
      </c>
      <c r="C64" s="133" t="str">
        <f>IF('G2 MT Reading Scoresheet'!C64&lt;&gt;"",'G2 MT Reading Scoresheet'!C64,"")</f>
        <v/>
      </c>
      <c r="D64" s="134" t="str">
        <f>IF('G2 MT Reading Scoresheet'!D64&lt;&gt;"",'G2 MT Reading Scoresheet'!D64,"")</f>
        <v/>
      </c>
      <c r="E64" s="135" t="str">
        <f>IF('G2 MT Reading Scoresheet'!E64&lt;&gt;"",'G2 MT Reading Scoresheet'!E64,"")</f>
        <v/>
      </c>
      <c r="F64" s="268" t="str">
        <f>IF('G2 MT Reading Scoresheet'!F64&lt;&gt;"",'G2 MT Reading Scoresheet'!F64,"")</f>
        <v/>
      </c>
      <c r="G64" s="269" t="str">
        <f>IF('G2 MT Reading Scoresheet'!G64&lt;&gt;"",'G2 MT Reading Scoresheet'!G64,"")</f>
        <v/>
      </c>
      <c r="H64" s="81" t="str">
        <f>IF('G2 MT Reading Scoresheet'!H64&lt;&gt;"",'G2 MT Reading Scoresheet'!H64,"")</f>
        <v/>
      </c>
      <c r="I64" s="81" t="str">
        <f>IF('G2 MT Reading Scoresheet'!I64&lt;&gt;"",'G2 MT Reading Scoresheet'!I64,"")</f>
        <v/>
      </c>
      <c r="J64" s="82" t="str">
        <f>IF('G2 MT Reading Scoresheet'!J64&lt;&gt;"",'G2 MT Reading Scoresheet'!J64,"")</f>
        <v/>
      </c>
      <c r="K64" s="270" t="str">
        <f>IF('G2 MT Reading Scoresheet'!K64&lt;&gt;"",'G2 MT Reading Scoresheet'!K64,"")</f>
        <v/>
      </c>
      <c r="L64" s="87" t="str">
        <f>IF('G2 MT Reading Scoresheet'!L64&lt;&gt;"",'G2 MT Reading Scoresheet'!L64,"")</f>
        <v/>
      </c>
      <c r="M64" s="118" t="str">
        <f>IF('G2 MT Reading Scoresheet'!M64&lt;&gt;"",'G2 MT Reading Scoresheet'!M64,"")</f>
        <v/>
      </c>
      <c r="N64" s="81" t="str">
        <f>IF('G2 MT Reading Scoresheet'!N64&lt;&gt;"",'G2 MT Reading Scoresheet'!N64,"")</f>
        <v/>
      </c>
      <c r="O64" s="81" t="str">
        <f>IF('G2 MT Reading Scoresheet'!O64&lt;&gt;"",'G2 MT Reading Scoresheet'!O64,"")</f>
        <v/>
      </c>
      <c r="P64" s="118" t="str">
        <f>IF('G2 MT Reading Scoresheet'!P64&lt;&gt;"",'G2 MT Reading Scoresheet'!P64,"")</f>
        <v/>
      </c>
      <c r="Q64" s="122" t="str">
        <f>IF('G2 MT Reading Scoresheet'!Q64&lt;&gt;"",'G2 MT Reading Scoresheet'!Q64,"")</f>
        <v/>
      </c>
      <c r="R64" s="81" t="str">
        <f>IF('G2 MT Reading Scoresheet'!R64&lt;&gt;"",'G2 MT Reading Scoresheet'!R64,"")</f>
        <v/>
      </c>
      <c r="S64" s="81" t="str">
        <f>IF('G2 MT Reading Scoresheet'!S64&lt;&gt;"",'G2 MT Reading Scoresheet'!S64,"")</f>
        <v/>
      </c>
      <c r="T64" s="82" t="str">
        <f>IF('G2 MT Reading Scoresheet'!T64&lt;&gt;"",'G2 MT Reading Scoresheet'!T64,"")</f>
        <v/>
      </c>
      <c r="U64" s="87" t="str">
        <f>IF('G2 MT Reading Scoresheet'!U64&lt;&gt;"",'G2 MT Reading Scoresheet'!U64,"")</f>
        <v/>
      </c>
      <c r="V64" s="271"/>
      <c r="Y64" s="221" t="str">
        <f t="shared" si="0"/>
        <v/>
      </c>
    </row>
    <row r="65" spans="1:25" ht="14.4" x14ac:dyDescent="0.3">
      <c r="A65" s="5">
        <v>55</v>
      </c>
      <c r="B65" s="118" t="str">
        <f>IF('G2 MT Reading Scoresheet'!B65&lt;&gt;"",'G2 MT Reading Scoresheet'!B65,"")</f>
        <v/>
      </c>
      <c r="C65" s="133" t="str">
        <f>IF('G2 MT Reading Scoresheet'!C65&lt;&gt;"",'G2 MT Reading Scoresheet'!C65,"")</f>
        <v/>
      </c>
      <c r="D65" s="134" t="str">
        <f>IF('G2 MT Reading Scoresheet'!D65&lt;&gt;"",'G2 MT Reading Scoresheet'!D65,"")</f>
        <v/>
      </c>
      <c r="E65" s="135" t="str">
        <f>IF('G2 MT Reading Scoresheet'!E65&lt;&gt;"",'G2 MT Reading Scoresheet'!E65,"")</f>
        <v/>
      </c>
      <c r="F65" s="272" t="str">
        <f>IF('G2 MT Reading Scoresheet'!F65&lt;&gt;"",'G2 MT Reading Scoresheet'!F65,"")</f>
        <v/>
      </c>
      <c r="G65" s="262" t="str">
        <f>IF('G2 MT Reading Scoresheet'!G65&lt;&gt;"",'G2 MT Reading Scoresheet'!G65,"")</f>
        <v/>
      </c>
      <c r="H65" s="273" t="str">
        <f>IF('G2 MT Reading Scoresheet'!H65&lt;&gt;"",'G2 MT Reading Scoresheet'!H65,"")</f>
        <v/>
      </c>
      <c r="I65" s="81" t="str">
        <f>IF('G2 MT Reading Scoresheet'!I65&lt;&gt;"",'G2 MT Reading Scoresheet'!I65,"")</f>
        <v/>
      </c>
      <c r="J65" s="82" t="str">
        <f>IF('G2 MT Reading Scoresheet'!J65&lt;&gt;"",'G2 MT Reading Scoresheet'!J65,"")</f>
        <v/>
      </c>
      <c r="K65" s="274" t="str">
        <f>IF('G2 MT Reading Scoresheet'!K65&lt;&gt;"",'G2 MT Reading Scoresheet'!K65,"")</f>
        <v/>
      </c>
      <c r="L65" s="275" t="str">
        <f>IF('G2 MT Reading Scoresheet'!L65&lt;&gt;"",'G2 MT Reading Scoresheet'!L65,"")</f>
        <v/>
      </c>
      <c r="M65" s="118" t="str">
        <f>IF('G2 MT Reading Scoresheet'!M65&lt;&gt;"",'G2 MT Reading Scoresheet'!M65,"")</f>
        <v/>
      </c>
      <c r="N65" s="273" t="str">
        <f>IF('G2 MT Reading Scoresheet'!N65&lt;&gt;"",'G2 MT Reading Scoresheet'!N65,"")</f>
        <v/>
      </c>
      <c r="O65" s="273" t="str">
        <f>IF('G2 MT Reading Scoresheet'!O65&lt;&gt;"",'G2 MT Reading Scoresheet'!O65,"")</f>
        <v/>
      </c>
      <c r="P65" s="118" t="str">
        <f>IF('G2 MT Reading Scoresheet'!P65&lt;&gt;"",'G2 MT Reading Scoresheet'!P65,"")</f>
        <v/>
      </c>
      <c r="Q65" s="122" t="str">
        <f>IF('G2 MT Reading Scoresheet'!Q65&lt;&gt;"",'G2 MT Reading Scoresheet'!Q65,"")</f>
        <v/>
      </c>
      <c r="R65" s="273" t="str">
        <f>IF('G2 MT Reading Scoresheet'!R65&lt;&gt;"",'G2 MT Reading Scoresheet'!R65,"")</f>
        <v/>
      </c>
      <c r="S65" s="273" t="str">
        <f>IF('G2 MT Reading Scoresheet'!S65&lt;&gt;"",'G2 MT Reading Scoresheet'!S65,"")</f>
        <v/>
      </c>
      <c r="T65" s="276" t="str">
        <f>IF('G2 MT Reading Scoresheet'!T65&lt;&gt;"",'G2 MT Reading Scoresheet'!T65,"")</f>
        <v/>
      </c>
      <c r="U65" s="87" t="str">
        <f>IF('G2 MT Reading Scoresheet'!U65&lt;&gt;"",'G2 MT Reading Scoresheet'!U65,"")</f>
        <v/>
      </c>
      <c r="V65" s="277"/>
      <c r="Y65" s="221" t="str">
        <f t="shared" si="0"/>
        <v/>
      </c>
    </row>
    <row r="66" spans="1:25" ht="14.4" x14ac:dyDescent="0.3">
      <c r="A66" s="4">
        <v>56</v>
      </c>
      <c r="B66" s="118" t="str">
        <f>IF('G2 MT Reading Scoresheet'!B66&lt;&gt;"",'G2 MT Reading Scoresheet'!B66,"")</f>
        <v/>
      </c>
      <c r="C66" s="133" t="str">
        <f>IF('G2 MT Reading Scoresheet'!C66&lt;&gt;"",'G2 MT Reading Scoresheet'!C66,"")</f>
        <v/>
      </c>
      <c r="D66" s="134" t="str">
        <f>IF('G2 MT Reading Scoresheet'!D66&lt;&gt;"",'G2 MT Reading Scoresheet'!D66,"")</f>
        <v/>
      </c>
      <c r="E66" s="135" t="str">
        <f>IF('G2 MT Reading Scoresheet'!E66&lt;&gt;"",'G2 MT Reading Scoresheet'!E66,"")</f>
        <v/>
      </c>
      <c r="F66" s="268" t="str">
        <f>IF('G2 MT Reading Scoresheet'!F66&lt;&gt;"",'G2 MT Reading Scoresheet'!F66,"")</f>
        <v/>
      </c>
      <c r="G66" s="269" t="str">
        <f>IF('G2 MT Reading Scoresheet'!G66&lt;&gt;"",'G2 MT Reading Scoresheet'!G66,"")</f>
        <v/>
      </c>
      <c r="H66" s="81" t="str">
        <f>IF('G2 MT Reading Scoresheet'!H66&lt;&gt;"",'G2 MT Reading Scoresheet'!H66,"")</f>
        <v/>
      </c>
      <c r="I66" s="81" t="str">
        <f>IF('G2 MT Reading Scoresheet'!I66&lt;&gt;"",'G2 MT Reading Scoresheet'!I66,"")</f>
        <v/>
      </c>
      <c r="J66" s="82" t="str">
        <f>IF('G2 MT Reading Scoresheet'!J66&lt;&gt;"",'G2 MT Reading Scoresheet'!J66,"")</f>
        <v/>
      </c>
      <c r="K66" s="270" t="str">
        <f>IF('G2 MT Reading Scoresheet'!K66&lt;&gt;"",'G2 MT Reading Scoresheet'!K66,"")</f>
        <v/>
      </c>
      <c r="L66" s="87" t="str">
        <f>IF('G2 MT Reading Scoresheet'!L66&lt;&gt;"",'G2 MT Reading Scoresheet'!L66,"")</f>
        <v/>
      </c>
      <c r="M66" s="118" t="str">
        <f>IF('G2 MT Reading Scoresheet'!M66&lt;&gt;"",'G2 MT Reading Scoresheet'!M66,"")</f>
        <v/>
      </c>
      <c r="N66" s="81" t="str">
        <f>IF('G2 MT Reading Scoresheet'!N66&lt;&gt;"",'G2 MT Reading Scoresheet'!N66,"")</f>
        <v/>
      </c>
      <c r="O66" s="81" t="str">
        <f>IF('G2 MT Reading Scoresheet'!O66&lt;&gt;"",'G2 MT Reading Scoresheet'!O66,"")</f>
        <v/>
      </c>
      <c r="P66" s="118" t="str">
        <f>IF('G2 MT Reading Scoresheet'!P66&lt;&gt;"",'G2 MT Reading Scoresheet'!P66,"")</f>
        <v/>
      </c>
      <c r="Q66" s="122" t="str">
        <f>IF('G2 MT Reading Scoresheet'!Q66&lt;&gt;"",'G2 MT Reading Scoresheet'!Q66,"")</f>
        <v/>
      </c>
      <c r="R66" s="81" t="str">
        <f>IF('G2 MT Reading Scoresheet'!R66&lt;&gt;"",'G2 MT Reading Scoresheet'!R66,"")</f>
        <v/>
      </c>
      <c r="S66" s="81" t="str">
        <f>IF('G2 MT Reading Scoresheet'!S66&lt;&gt;"",'G2 MT Reading Scoresheet'!S66,"")</f>
        <v/>
      </c>
      <c r="T66" s="82" t="str">
        <f>IF('G2 MT Reading Scoresheet'!T66&lt;&gt;"",'G2 MT Reading Scoresheet'!T66,"")</f>
        <v/>
      </c>
      <c r="U66" s="87" t="str">
        <f>IF('G2 MT Reading Scoresheet'!U66&lt;&gt;"",'G2 MT Reading Scoresheet'!U66,"")</f>
        <v/>
      </c>
      <c r="V66" s="271"/>
      <c r="Y66" s="221" t="str">
        <f t="shared" si="0"/>
        <v/>
      </c>
    </row>
    <row r="67" spans="1:25" ht="14.4" x14ac:dyDescent="0.3">
      <c r="A67" s="5">
        <v>57</v>
      </c>
      <c r="B67" s="118" t="str">
        <f>IF('G2 MT Reading Scoresheet'!B67&lt;&gt;"",'G2 MT Reading Scoresheet'!B67,"")</f>
        <v/>
      </c>
      <c r="C67" s="133" t="str">
        <f>IF('G2 MT Reading Scoresheet'!C67&lt;&gt;"",'G2 MT Reading Scoresheet'!C67,"")</f>
        <v/>
      </c>
      <c r="D67" s="134" t="str">
        <f>IF('G2 MT Reading Scoresheet'!D67&lt;&gt;"",'G2 MT Reading Scoresheet'!D67,"")</f>
        <v/>
      </c>
      <c r="E67" s="135" t="str">
        <f>IF('G2 MT Reading Scoresheet'!E67&lt;&gt;"",'G2 MT Reading Scoresheet'!E67,"")</f>
        <v/>
      </c>
      <c r="F67" s="272" t="str">
        <f>IF('G2 MT Reading Scoresheet'!F67&lt;&gt;"",'G2 MT Reading Scoresheet'!F67,"")</f>
        <v/>
      </c>
      <c r="G67" s="262" t="str">
        <f>IF('G2 MT Reading Scoresheet'!G67&lt;&gt;"",'G2 MT Reading Scoresheet'!G67,"")</f>
        <v/>
      </c>
      <c r="H67" s="273" t="str">
        <f>IF('G2 MT Reading Scoresheet'!H67&lt;&gt;"",'G2 MT Reading Scoresheet'!H67,"")</f>
        <v/>
      </c>
      <c r="I67" s="81" t="str">
        <f>IF('G2 MT Reading Scoresheet'!I67&lt;&gt;"",'G2 MT Reading Scoresheet'!I67,"")</f>
        <v/>
      </c>
      <c r="J67" s="82" t="str">
        <f>IF('G2 MT Reading Scoresheet'!J67&lt;&gt;"",'G2 MT Reading Scoresheet'!J67,"")</f>
        <v/>
      </c>
      <c r="K67" s="274" t="str">
        <f>IF('G2 MT Reading Scoresheet'!K67&lt;&gt;"",'G2 MT Reading Scoresheet'!K67,"")</f>
        <v/>
      </c>
      <c r="L67" s="275" t="str">
        <f>IF('G2 MT Reading Scoresheet'!L67&lt;&gt;"",'G2 MT Reading Scoresheet'!L67,"")</f>
        <v/>
      </c>
      <c r="M67" s="118" t="str">
        <f>IF('G2 MT Reading Scoresheet'!M67&lt;&gt;"",'G2 MT Reading Scoresheet'!M67,"")</f>
        <v/>
      </c>
      <c r="N67" s="273" t="str">
        <f>IF('G2 MT Reading Scoresheet'!N67&lt;&gt;"",'G2 MT Reading Scoresheet'!N67,"")</f>
        <v/>
      </c>
      <c r="O67" s="273" t="str">
        <f>IF('G2 MT Reading Scoresheet'!O67&lt;&gt;"",'G2 MT Reading Scoresheet'!O67,"")</f>
        <v/>
      </c>
      <c r="P67" s="118" t="str">
        <f>IF('G2 MT Reading Scoresheet'!P67&lt;&gt;"",'G2 MT Reading Scoresheet'!P67,"")</f>
        <v/>
      </c>
      <c r="Q67" s="122" t="str">
        <f>IF('G2 MT Reading Scoresheet'!Q67&lt;&gt;"",'G2 MT Reading Scoresheet'!Q67,"")</f>
        <v/>
      </c>
      <c r="R67" s="273" t="str">
        <f>IF('G2 MT Reading Scoresheet'!R67&lt;&gt;"",'G2 MT Reading Scoresheet'!R67,"")</f>
        <v/>
      </c>
      <c r="S67" s="273" t="str">
        <f>IF('G2 MT Reading Scoresheet'!S67&lt;&gt;"",'G2 MT Reading Scoresheet'!S67,"")</f>
        <v/>
      </c>
      <c r="T67" s="276" t="str">
        <f>IF('G2 MT Reading Scoresheet'!T67&lt;&gt;"",'G2 MT Reading Scoresheet'!T67,"")</f>
        <v/>
      </c>
      <c r="U67" s="87" t="str">
        <f>IF('G2 MT Reading Scoresheet'!U67&lt;&gt;"",'G2 MT Reading Scoresheet'!U67,"")</f>
        <v/>
      </c>
      <c r="V67" s="277"/>
      <c r="Y67" s="221" t="str">
        <f t="shared" si="0"/>
        <v/>
      </c>
    </row>
    <row r="68" spans="1:25" ht="14.4" x14ac:dyDescent="0.3">
      <c r="A68" s="4">
        <v>58</v>
      </c>
      <c r="B68" s="118" t="str">
        <f>IF('G2 MT Reading Scoresheet'!B68&lt;&gt;"",'G2 MT Reading Scoresheet'!B68,"")</f>
        <v/>
      </c>
      <c r="C68" s="133" t="str">
        <f>IF('G2 MT Reading Scoresheet'!C68&lt;&gt;"",'G2 MT Reading Scoresheet'!C68,"")</f>
        <v/>
      </c>
      <c r="D68" s="134" t="str">
        <f>IF('G2 MT Reading Scoresheet'!D68&lt;&gt;"",'G2 MT Reading Scoresheet'!D68,"")</f>
        <v/>
      </c>
      <c r="E68" s="135" t="str">
        <f>IF('G2 MT Reading Scoresheet'!E68&lt;&gt;"",'G2 MT Reading Scoresheet'!E68,"")</f>
        <v/>
      </c>
      <c r="F68" s="268" t="str">
        <f>IF('G2 MT Reading Scoresheet'!F68&lt;&gt;"",'G2 MT Reading Scoresheet'!F68,"")</f>
        <v/>
      </c>
      <c r="G68" s="269" t="str">
        <f>IF('G2 MT Reading Scoresheet'!G68&lt;&gt;"",'G2 MT Reading Scoresheet'!G68,"")</f>
        <v/>
      </c>
      <c r="H68" s="81" t="str">
        <f>IF('G2 MT Reading Scoresheet'!H68&lt;&gt;"",'G2 MT Reading Scoresheet'!H68,"")</f>
        <v/>
      </c>
      <c r="I68" s="81" t="str">
        <f>IF('G2 MT Reading Scoresheet'!I68&lt;&gt;"",'G2 MT Reading Scoresheet'!I68,"")</f>
        <v/>
      </c>
      <c r="J68" s="82" t="str">
        <f>IF('G2 MT Reading Scoresheet'!J68&lt;&gt;"",'G2 MT Reading Scoresheet'!J68,"")</f>
        <v/>
      </c>
      <c r="K68" s="270" t="str">
        <f>IF('G2 MT Reading Scoresheet'!K68&lt;&gt;"",'G2 MT Reading Scoresheet'!K68,"")</f>
        <v/>
      </c>
      <c r="L68" s="87" t="str">
        <f>IF('G2 MT Reading Scoresheet'!L68&lt;&gt;"",'G2 MT Reading Scoresheet'!L68,"")</f>
        <v/>
      </c>
      <c r="M68" s="118" t="str">
        <f>IF('G2 MT Reading Scoresheet'!M68&lt;&gt;"",'G2 MT Reading Scoresheet'!M68,"")</f>
        <v/>
      </c>
      <c r="N68" s="81" t="str">
        <f>IF('G2 MT Reading Scoresheet'!N68&lt;&gt;"",'G2 MT Reading Scoresheet'!N68,"")</f>
        <v/>
      </c>
      <c r="O68" s="81" t="str">
        <f>IF('G2 MT Reading Scoresheet'!O68&lt;&gt;"",'G2 MT Reading Scoresheet'!O68,"")</f>
        <v/>
      </c>
      <c r="P68" s="118" t="str">
        <f>IF('G2 MT Reading Scoresheet'!P68&lt;&gt;"",'G2 MT Reading Scoresheet'!P68,"")</f>
        <v/>
      </c>
      <c r="Q68" s="122" t="str">
        <f>IF('G2 MT Reading Scoresheet'!Q68&lt;&gt;"",'G2 MT Reading Scoresheet'!Q68,"")</f>
        <v/>
      </c>
      <c r="R68" s="81" t="str">
        <f>IF('G2 MT Reading Scoresheet'!R68&lt;&gt;"",'G2 MT Reading Scoresheet'!R68,"")</f>
        <v/>
      </c>
      <c r="S68" s="81" t="str">
        <f>IF('G2 MT Reading Scoresheet'!S68&lt;&gt;"",'G2 MT Reading Scoresheet'!S68,"")</f>
        <v/>
      </c>
      <c r="T68" s="82" t="str">
        <f>IF('G2 MT Reading Scoresheet'!T68&lt;&gt;"",'G2 MT Reading Scoresheet'!T68,"")</f>
        <v/>
      </c>
      <c r="U68" s="87" t="str">
        <f>IF('G2 MT Reading Scoresheet'!U68&lt;&gt;"",'G2 MT Reading Scoresheet'!U68,"")</f>
        <v/>
      </c>
      <c r="V68" s="271"/>
      <c r="Y68" s="221" t="str">
        <f t="shared" si="0"/>
        <v/>
      </c>
    </row>
    <row r="69" spans="1:25" ht="14.4" x14ac:dyDescent="0.3">
      <c r="A69" s="5">
        <v>59</v>
      </c>
      <c r="B69" s="118" t="str">
        <f>IF('G2 MT Reading Scoresheet'!B69&lt;&gt;"",'G2 MT Reading Scoresheet'!B69,"")</f>
        <v/>
      </c>
      <c r="C69" s="133" t="str">
        <f>IF('G2 MT Reading Scoresheet'!C69&lt;&gt;"",'G2 MT Reading Scoresheet'!C69,"")</f>
        <v/>
      </c>
      <c r="D69" s="134" t="str">
        <f>IF('G2 MT Reading Scoresheet'!D69&lt;&gt;"",'G2 MT Reading Scoresheet'!D69,"")</f>
        <v/>
      </c>
      <c r="E69" s="135" t="str">
        <f>IF('G2 MT Reading Scoresheet'!E69&lt;&gt;"",'G2 MT Reading Scoresheet'!E69,"")</f>
        <v/>
      </c>
      <c r="F69" s="272" t="str">
        <f>IF('G2 MT Reading Scoresheet'!F69&lt;&gt;"",'G2 MT Reading Scoresheet'!F69,"")</f>
        <v/>
      </c>
      <c r="G69" s="262" t="str">
        <f>IF('G2 MT Reading Scoresheet'!G69&lt;&gt;"",'G2 MT Reading Scoresheet'!G69,"")</f>
        <v/>
      </c>
      <c r="H69" s="273" t="str">
        <f>IF('G2 MT Reading Scoresheet'!H69&lt;&gt;"",'G2 MT Reading Scoresheet'!H69,"")</f>
        <v/>
      </c>
      <c r="I69" s="81" t="str">
        <f>IF('G2 MT Reading Scoresheet'!I69&lt;&gt;"",'G2 MT Reading Scoresheet'!I69,"")</f>
        <v/>
      </c>
      <c r="J69" s="82" t="str">
        <f>IF('G2 MT Reading Scoresheet'!J69&lt;&gt;"",'G2 MT Reading Scoresheet'!J69,"")</f>
        <v/>
      </c>
      <c r="K69" s="274" t="str">
        <f>IF('G2 MT Reading Scoresheet'!K69&lt;&gt;"",'G2 MT Reading Scoresheet'!K69,"")</f>
        <v/>
      </c>
      <c r="L69" s="275" t="str">
        <f>IF('G2 MT Reading Scoresheet'!L69&lt;&gt;"",'G2 MT Reading Scoresheet'!L69,"")</f>
        <v/>
      </c>
      <c r="M69" s="118" t="str">
        <f>IF('G2 MT Reading Scoresheet'!M69&lt;&gt;"",'G2 MT Reading Scoresheet'!M69,"")</f>
        <v/>
      </c>
      <c r="N69" s="273" t="str">
        <f>IF('G2 MT Reading Scoresheet'!N69&lt;&gt;"",'G2 MT Reading Scoresheet'!N69,"")</f>
        <v/>
      </c>
      <c r="O69" s="273" t="str">
        <f>IF('G2 MT Reading Scoresheet'!O69&lt;&gt;"",'G2 MT Reading Scoresheet'!O69,"")</f>
        <v/>
      </c>
      <c r="P69" s="118" t="str">
        <f>IF('G2 MT Reading Scoresheet'!P69&lt;&gt;"",'G2 MT Reading Scoresheet'!P69,"")</f>
        <v/>
      </c>
      <c r="Q69" s="122" t="str">
        <f>IF('G2 MT Reading Scoresheet'!Q69&lt;&gt;"",'G2 MT Reading Scoresheet'!Q69,"")</f>
        <v/>
      </c>
      <c r="R69" s="273" t="str">
        <f>IF('G2 MT Reading Scoresheet'!R69&lt;&gt;"",'G2 MT Reading Scoresheet'!R69,"")</f>
        <v/>
      </c>
      <c r="S69" s="273" t="str">
        <f>IF('G2 MT Reading Scoresheet'!S69&lt;&gt;"",'G2 MT Reading Scoresheet'!S69,"")</f>
        <v/>
      </c>
      <c r="T69" s="276" t="str">
        <f>IF('G2 MT Reading Scoresheet'!T69&lt;&gt;"",'G2 MT Reading Scoresheet'!T69,"")</f>
        <v/>
      </c>
      <c r="U69" s="87" t="str">
        <f>IF('G2 MT Reading Scoresheet'!U69&lt;&gt;"",'G2 MT Reading Scoresheet'!U69,"")</f>
        <v/>
      </c>
      <c r="V69" s="277"/>
      <c r="Y69" s="221" t="str">
        <f t="shared" si="0"/>
        <v/>
      </c>
    </row>
    <row r="70" spans="1:25" ht="14.4" x14ac:dyDescent="0.3">
      <c r="A70" s="5">
        <f>A69+1</f>
        <v>60</v>
      </c>
      <c r="B70" s="118" t="str">
        <f>IF('G2 MT Reading Scoresheet'!B70&lt;&gt;"",'G2 MT Reading Scoresheet'!B70,"")</f>
        <v/>
      </c>
      <c r="C70" s="133" t="str">
        <f>IF('G2 MT Reading Scoresheet'!C70&lt;&gt;"",'G2 MT Reading Scoresheet'!C70,"")</f>
        <v/>
      </c>
      <c r="D70" s="134" t="str">
        <f>IF('G2 MT Reading Scoresheet'!D70&lt;&gt;"",'G2 MT Reading Scoresheet'!D70,"")</f>
        <v/>
      </c>
      <c r="E70" s="135" t="str">
        <f>IF('G2 MT Reading Scoresheet'!E70&lt;&gt;"",'G2 MT Reading Scoresheet'!E70,"")</f>
        <v/>
      </c>
      <c r="F70" s="272" t="str">
        <f>IF('G2 MT Reading Scoresheet'!F70&lt;&gt;"",'G2 MT Reading Scoresheet'!F70,"")</f>
        <v/>
      </c>
      <c r="G70" s="269" t="str">
        <f>IF('G2 MT Reading Scoresheet'!G70&lt;&gt;"",'G2 MT Reading Scoresheet'!G70,"")</f>
        <v/>
      </c>
      <c r="H70" s="81" t="str">
        <f>IF('G2 MT Reading Scoresheet'!H70&lt;&gt;"",'G2 MT Reading Scoresheet'!H70,"")</f>
        <v/>
      </c>
      <c r="I70" s="81" t="str">
        <f>IF('G2 MT Reading Scoresheet'!I70&lt;&gt;"",'G2 MT Reading Scoresheet'!I70,"")</f>
        <v/>
      </c>
      <c r="J70" s="82" t="str">
        <f>IF('G2 MT Reading Scoresheet'!J70&lt;&gt;"",'G2 MT Reading Scoresheet'!J70,"")</f>
        <v/>
      </c>
      <c r="K70" s="270" t="str">
        <f>IF('G2 MT Reading Scoresheet'!K70&lt;&gt;"",'G2 MT Reading Scoresheet'!K70,"")</f>
        <v/>
      </c>
      <c r="L70" s="87" t="str">
        <f>IF('G2 MT Reading Scoresheet'!L70&lt;&gt;"",'G2 MT Reading Scoresheet'!L70,"")</f>
        <v/>
      </c>
      <c r="M70" s="118" t="str">
        <f>IF('G2 MT Reading Scoresheet'!M70&lt;&gt;"",'G2 MT Reading Scoresheet'!M70,"")</f>
        <v/>
      </c>
      <c r="N70" s="81" t="str">
        <f>IF('G2 MT Reading Scoresheet'!N70&lt;&gt;"",'G2 MT Reading Scoresheet'!N70,"")</f>
        <v/>
      </c>
      <c r="O70" s="81" t="str">
        <f>IF('G2 MT Reading Scoresheet'!O70&lt;&gt;"",'G2 MT Reading Scoresheet'!O70,"")</f>
        <v/>
      </c>
      <c r="P70" s="118" t="str">
        <f>IF('G2 MT Reading Scoresheet'!P70&lt;&gt;"",'G2 MT Reading Scoresheet'!P70,"")</f>
        <v/>
      </c>
      <c r="Q70" s="122" t="str">
        <f>IF('G2 MT Reading Scoresheet'!Q70&lt;&gt;"",'G2 MT Reading Scoresheet'!Q70,"")</f>
        <v/>
      </c>
      <c r="R70" s="81" t="str">
        <f>IF('G2 MT Reading Scoresheet'!R70&lt;&gt;"",'G2 MT Reading Scoresheet'!R70,"")</f>
        <v/>
      </c>
      <c r="S70" s="81" t="str">
        <f>IF('G2 MT Reading Scoresheet'!S70&lt;&gt;"",'G2 MT Reading Scoresheet'!S70,"")</f>
        <v/>
      </c>
      <c r="T70" s="82" t="str">
        <f>IF('G2 MT Reading Scoresheet'!T70&lt;&gt;"",'G2 MT Reading Scoresheet'!T70,"")</f>
        <v/>
      </c>
      <c r="U70" s="87" t="str">
        <f>IF('G2 MT Reading Scoresheet'!U70&lt;&gt;"",'G2 MT Reading Scoresheet'!U70,"")</f>
        <v/>
      </c>
      <c r="V70" s="271"/>
      <c r="Y70" s="221" t="str">
        <f t="shared" si="0"/>
        <v/>
      </c>
    </row>
    <row r="71" spans="1:25" ht="14.4" x14ac:dyDescent="0.3">
      <c r="A71" s="4">
        <f t="shared" ref="A71:A109" si="1">A70+1</f>
        <v>61</v>
      </c>
      <c r="B71" s="118" t="str">
        <f>IF('G2 MT Reading Scoresheet'!B71&lt;&gt;"",'G2 MT Reading Scoresheet'!B71,"")</f>
        <v/>
      </c>
      <c r="C71" s="133" t="str">
        <f>IF('G2 MT Reading Scoresheet'!C71&lt;&gt;"",'G2 MT Reading Scoresheet'!C71,"")</f>
        <v/>
      </c>
      <c r="D71" s="134" t="str">
        <f>IF('G2 MT Reading Scoresheet'!D71&lt;&gt;"",'G2 MT Reading Scoresheet'!D71,"")</f>
        <v/>
      </c>
      <c r="E71" s="135" t="str">
        <f>IF('G2 MT Reading Scoresheet'!E71&lt;&gt;"",'G2 MT Reading Scoresheet'!E71,"")</f>
        <v/>
      </c>
      <c r="F71" s="268" t="str">
        <f>IF('G2 MT Reading Scoresheet'!F71&lt;&gt;"",'G2 MT Reading Scoresheet'!F71,"")</f>
        <v/>
      </c>
      <c r="G71" s="262" t="str">
        <f>IF('G2 MT Reading Scoresheet'!G71&lt;&gt;"",'G2 MT Reading Scoresheet'!G71,"")</f>
        <v/>
      </c>
      <c r="H71" s="273" t="str">
        <f>IF('G2 MT Reading Scoresheet'!H71&lt;&gt;"",'G2 MT Reading Scoresheet'!H71,"")</f>
        <v/>
      </c>
      <c r="I71" s="81" t="str">
        <f>IF('G2 MT Reading Scoresheet'!I71&lt;&gt;"",'G2 MT Reading Scoresheet'!I71,"")</f>
        <v/>
      </c>
      <c r="J71" s="82" t="str">
        <f>IF('G2 MT Reading Scoresheet'!J71&lt;&gt;"",'G2 MT Reading Scoresheet'!J71,"")</f>
        <v/>
      </c>
      <c r="K71" s="274" t="str">
        <f>IF('G2 MT Reading Scoresheet'!K71&lt;&gt;"",'G2 MT Reading Scoresheet'!K71,"")</f>
        <v/>
      </c>
      <c r="L71" s="275" t="str">
        <f>IF('G2 MT Reading Scoresheet'!L71&lt;&gt;"",'G2 MT Reading Scoresheet'!L71,"")</f>
        <v/>
      </c>
      <c r="M71" s="118" t="str">
        <f>IF('G2 MT Reading Scoresheet'!M71&lt;&gt;"",'G2 MT Reading Scoresheet'!M71,"")</f>
        <v/>
      </c>
      <c r="N71" s="273" t="str">
        <f>IF('G2 MT Reading Scoresheet'!N71&lt;&gt;"",'G2 MT Reading Scoresheet'!N71,"")</f>
        <v/>
      </c>
      <c r="O71" s="273" t="str">
        <f>IF('G2 MT Reading Scoresheet'!O71&lt;&gt;"",'G2 MT Reading Scoresheet'!O71,"")</f>
        <v/>
      </c>
      <c r="P71" s="118" t="str">
        <f>IF('G2 MT Reading Scoresheet'!P71&lt;&gt;"",'G2 MT Reading Scoresheet'!P71,"")</f>
        <v/>
      </c>
      <c r="Q71" s="122" t="str">
        <f>IF('G2 MT Reading Scoresheet'!Q71&lt;&gt;"",'G2 MT Reading Scoresheet'!Q71,"")</f>
        <v/>
      </c>
      <c r="R71" s="273" t="str">
        <f>IF('G2 MT Reading Scoresheet'!R71&lt;&gt;"",'G2 MT Reading Scoresheet'!R71,"")</f>
        <v/>
      </c>
      <c r="S71" s="273" t="str">
        <f>IF('G2 MT Reading Scoresheet'!S71&lt;&gt;"",'G2 MT Reading Scoresheet'!S71,"")</f>
        <v/>
      </c>
      <c r="T71" s="276" t="str">
        <f>IF('G2 MT Reading Scoresheet'!T71&lt;&gt;"",'G2 MT Reading Scoresheet'!T71,"")</f>
        <v/>
      </c>
      <c r="U71" s="87" t="str">
        <f>IF('G2 MT Reading Scoresheet'!U71&lt;&gt;"",'G2 MT Reading Scoresheet'!U71,"")</f>
        <v/>
      </c>
      <c r="V71" s="277"/>
      <c r="Y71" s="221" t="str">
        <f t="shared" si="0"/>
        <v/>
      </c>
    </row>
    <row r="72" spans="1:25" ht="14.4" x14ac:dyDescent="0.3">
      <c r="A72" s="5">
        <f t="shared" si="1"/>
        <v>62</v>
      </c>
      <c r="B72" s="118" t="str">
        <f>IF('G2 MT Reading Scoresheet'!B72&lt;&gt;"",'G2 MT Reading Scoresheet'!B72,"")</f>
        <v/>
      </c>
      <c r="C72" s="133" t="str">
        <f>IF('G2 MT Reading Scoresheet'!C72&lt;&gt;"",'G2 MT Reading Scoresheet'!C72,"")</f>
        <v/>
      </c>
      <c r="D72" s="134" t="str">
        <f>IF('G2 MT Reading Scoresheet'!D72&lt;&gt;"",'G2 MT Reading Scoresheet'!D72,"")</f>
        <v/>
      </c>
      <c r="E72" s="135" t="str">
        <f>IF('G2 MT Reading Scoresheet'!E72&lt;&gt;"",'G2 MT Reading Scoresheet'!E72,"")</f>
        <v/>
      </c>
      <c r="F72" s="272" t="str">
        <f>IF('G2 MT Reading Scoresheet'!F72&lt;&gt;"",'G2 MT Reading Scoresheet'!F72,"")</f>
        <v/>
      </c>
      <c r="G72" s="269" t="str">
        <f>IF('G2 MT Reading Scoresheet'!G72&lt;&gt;"",'G2 MT Reading Scoresheet'!G72,"")</f>
        <v/>
      </c>
      <c r="H72" s="81" t="str">
        <f>IF('G2 MT Reading Scoresheet'!H72&lt;&gt;"",'G2 MT Reading Scoresheet'!H72,"")</f>
        <v/>
      </c>
      <c r="I72" s="81" t="str">
        <f>IF('G2 MT Reading Scoresheet'!I72&lt;&gt;"",'G2 MT Reading Scoresheet'!I72,"")</f>
        <v/>
      </c>
      <c r="J72" s="82" t="str">
        <f>IF('G2 MT Reading Scoresheet'!J72&lt;&gt;"",'G2 MT Reading Scoresheet'!J72,"")</f>
        <v/>
      </c>
      <c r="K72" s="270" t="str">
        <f>IF('G2 MT Reading Scoresheet'!K72&lt;&gt;"",'G2 MT Reading Scoresheet'!K72,"")</f>
        <v/>
      </c>
      <c r="L72" s="87" t="str">
        <f>IF('G2 MT Reading Scoresheet'!L72&lt;&gt;"",'G2 MT Reading Scoresheet'!L72,"")</f>
        <v/>
      </c>
      <c r="M72" s="118" t="str">
        <f>IF('G2 MT Reading Scoresheet'!M72&lt;&gt;"",'G2 MT Reading Scoresheet'!M72,"")</f>
        <v/>
      </c>
      <c r="N72" s="81" t="str">
        <f>IF('G2 MT Reading Scoresheet'!N72&lt;&gt;"",'G2 MT Reading Scoresheet'!N72,"")</f>
        <v/>
      </c>
      <c r="O72" s="81" t="str">
        <f>IF('G2 MT Reading Scoresheet'!O72&lt;&gt;"",'G2 MT Reading Scoresheet'!O72,"")</f>
        <v/>
      </c>
      <c r="P72" s="118" t="str">
        <f>IF('G2 MT Reading Scoresheet'!P72&lt;&gt;"",'G2 MT Reading Scoresheet'!P72,"")</f>
        <v/>
      </c>
      <c r="Q72" s="122" t="str">
        <f>IF('G2 MT Reading Scoresheet'!Q72&lt;&gt;"",'G2 MT Reading Scoresheet'!Q72,"")</f>
        <v/>
      </c>
      <c r="R72" s="81" t="str">
        <f>IF('G2 MT Reading Scoresheet'!R72&lt;&gt;"",'G2 MT Reading Scoresheet'!R72,"")</f>
        <v/>
      </c>
      <c r="S72" s="81" t="str">
        <f>IF('G2 MT Reading Scoresheet'!S72&lt;&gt;"",'G2 MT Reading Scoresheet'!S72,"")</f>
        <v/>
      </c>
      <c r="T72" s="82" t="str">
        <f>IF('G2 MT Reading Scoresheet'!T72&lt;&gt;"",'G2 MT Reading Scoresheet'!T72,"")</f>
        <v/>
      </c>
      <c r="U72" s="87" t="str">
        <f>IF('G2 MT Reading Scoresheet'!U72&lt;&gt;"",'G2 MT Reading Scoresheet'!U72,"")</f>
        <v/>
      </c>
      <c r="V72" s="271"/>
      <c r="Y72" s="221" t="str">
        <f t="shared" si="0"/>
        <v/>
      </c>
    </row>
    <row r="73" spans="1:25" ht="14.4" x14ac:dyDescent="0.3">
      <c r="A73" s="4">
        <f t="shared" si="1"/>
        <v>63</v>
      </c>
      <c r="B73" s="118" t="str">
        <f>IF('G2 MT Reading Scoresheet'!B73&lt;&gt;"",'G2 MT Reading Scoresheet'!B73,"")</f>
        <v/>
      </c>
      <c r="C73" s="133" t="str">
        <f>IF('G2 MT Reading Scoresheet'!C73&lt;&gt;"",'G2 MT Reading Scoresheet'!C73,"")</f>
        <v/>
      </c>
      <c r="D73" s="134" t="str">
        <f>IF('G2 MT Reading Scoresheet'!D73&lt;&gt;"",'G2 MT Reading Scoresheet'!D73,"")</f>
        <v/>
      </c>
      <c r="E73" s="135" t="str">
        <f>IF('G2 MT Reading Scoresheet'!E73&lt;&gt;"",'G2 MT Reading Scoresheet'!E73,"")</f>
        <v/>
      </c>
      <c r="F73" s="268" t="str">
        <f>IF('G2 MT Reading Scoresheet'!F73&lt;&gt;"",'G2 MT Reading Scoresheet'!F73,"")</f>
        <v/>
      </c>
      <c r="G73" s="262" t="str">
        <f>IF('G2 MT Reading Scoresheet'!G73&lt;&gt;"",'G2 MT Reading Scoresheet'!G73,"")</f>
        <v/>
      </c>
      <c r="H73" s="273" t="str">
        <f>IF('G2 MT Reading Scoresheet'!H73&lt;&gt;"",'G2 MT Reading Scoresheet'!H73,"")</f>
        <v/>
      </c>
      <c r="I73" s="81" t="str">
        <f>IF('G2 MT Reading Scoresheet'!I73&lt;&gt;"",'G2 MT Reading Scoresheet'!I73,"")</f>
        <v/>
      </c>
      <c r="J73" s="82" t="str">
        <f>IF('G2 MT Reading Scoresheet'!J73&lt;&gt;"",'G2 MT Reading Scoresheet'!J73,"")</f>
        <v/>
      </c>
      <c r="K73" s="274" t="str">
        <f>IF('G2 MT Reading Scoresheet'!K73&lt;&gt;"",'G2 MT Reading Scoresheet'!K73,"")</f>
        <v/>
      </c>
      <c r="L73" s="275" t="str">
        <f>IF('G2 MT Reading Scoresheet'!L73&lt;&gt;"",'G2 MT Reading Scoresheet'!L73,"")</f>
        <v/>
      </c>
      <c r="M73" s="118" t="str">
        <f>IF('G2 MT Reading Scoresheet'!M73&lt;&gt;"",'G2 MT Reading Scoresheet'!M73,"")</f>
        <v/>
      </c>
      <c r="N73" s="273" t="str">
        <f>IF('G2 MT Reading Scoresheet'!N73&lt;&gt;"",'G2 MT Reading Scoresheet'!N73,"")</f>
        <v/>
      </c>
      <c r="O73" s="273" t="str">
        <f>IF('G2 MT Reading Scoresheet'!O73&lt;&gt;"",'G2 MT Reading Scoresheet'!O73,"")</f>
        <v/>
      </c>
      <c r="P73" s="118" t="str">
        <f>IF('G2 MT Reading Scoresheet'!P73&lt;&gt;"",'G2 MT Reading Scoresheet'!P73,"")</f>
        <v/>
      </c>
      <c r="Q73" s="122" t="str">
        <f>IF('G2 MT Reading Scoresheet'!Q73&lt;&gt;"",'G2 MT Reading Scoresheet'!Q73,"")</f>
        <v/>
      </c>
      <c r="R73" s="273" t="str">
        <f>IF('G2 MT Reading Scoresheet'!R73&lt;&gt;"",'G2 MT Reading Scoresheet'!R73,"")</f>
        <v/>
      </c>
      <c r="S73" s="273" t="str">
        <f>IF('G2 MT Reading Scoresheet'!S73&lt;&gt;"",'G2 MT Reading Scoresheet'!S73,"")</f>
        <v/>
      </c>
      <c r="T73" s="276" t="str">
        <f>IF('G2 MT Reading Scoresheet'!T73&lt;&gt;"",'G2 MT Reading Scoresheet'!T73,"")</f>
        <v/>
      </c>
      <c r="U73" s="87" t="str">
        <f>IF('G2 MT Reading Scoresheet'!U73&lt;&gt;"",'G2 MT Reading Scoresheet'!U73,"")</f>
        <v/>
      </c>
      <c r="V73" s="277"/>
      <c r="Y73" s="221" t="str">
        <f t="shared" si="0"/>
        <v/>
      </c>
    </row>
    <row r="74" spans="1:25" ht="14.4" x14ac:dyDescent="0.3">
      <c r="A74" s="5">
        <f t="shared" si="1"/>
        <v>64</v>
      </c>
      <c r="B74" s="118" t="str">
        <f>IF('G2 MT Reading Scoresheet'!B74&lt;&gt;"",'G2 MT Reading Scoresheet'!B74,"")</f>
        <v/>
      </c>
      <c r="C74" s="133" t="str">
        <f>IF('G2 MT Reading Scoresheet'!C74&lt;&gt;"",'G2 MT Reading Scoresheet'!C74,"")</f>
        <v/>
      </c>
      <c r="D74" s="134" t="str">
        <f>IF('G2 MT Reading Scoresheet'!D74&lt;&gt;"",'G2 MT Reading Scoresheet'!D74,"")</f>
        <v/>
      </c>
      <c r="E74" s="135" t="str">
        <f>IF('G2 MT Reading Scoresheet'!E74&lt;&gt;"",'G2 MT Reading Scoresheet'!E74,"")</f>
        <v/>
      </c>
      <c r="F74" s="272" t="str">
        <f>IF('G2 MT Reading Scoresheet'!F74&lt;&gt;"",'G2 MT Reading Scoresheet'!F74,"")</f>
        <v/>
      </c>
      <c r="G74" s="269" t="str">
        <f>IF('G2 MT Reading Scoresheet'!G74&lt;&gt;"",'G2 MT Reading Scoresheet'!G74,"")</f>
        <v/>
      </c>
      <c r="H74" s="81" t="str">
        <f>IF('G2 MT Reading Scoresheet'!H74&lt;&gt;"",'G2 MT Reading Scoresheet'!H74,"")</f>
        <v/>
      </c>
      <c r="I74" s="81" t="str">
        <f>IF('G2 MT Reading Scoresheet'!I74&lt;&gt;"",'G2 MT Reading Scoresheet'!I74,"")</f>
        <v/>
      </c>
      <c r="J74" s="82" t="str">
        <f>IF('G2 MT Reading Scoresheet'!J74&lt;&gt;"",'G2 MT Reading Scoresheet'!J74,"")</f>
        <v/>
      </c>
      <c r="K74" s="270" t="str">
        <f>IF('G2 MT Reading Scoresheet'!K74&lt;&gt;"",'G2 MT Reading Scoresheet'!K74,"")</f>
        <v/>
      </c>
      <c r="L74" s="87" t="str">
        <f>IF('G2 MT Reading Scoresheet'!L74&lt;&gt;"",'G2 MT Reading Scoresheet'!L74,"")</f>
        <v/>
      </c>
      <c r="M74" s="118" t="str">
        <f>IF('G2 MT Reading Scoresheet'!M74&lt;&gt;"",'G2 MT Reading Scoresheet'!M74,"")</f>
        <v/>
      </c>
      <c r="N74" s="81" t="str">
        <f>IF('G2 MT Reading Scoresheet'!N74&lt;&gt;"",'G2 MT Reading Scoresheet'!N74,"")</f>
        <v/>
      </c>
      <c r="O74" s="81" t="str">
        <f>IF('G2 MT Reading Scoresheet'!O74&lt;&gt;"",'G2 MT Reading Scoresheet'!O74,"")</f>
        <v/>
      </c>
      <c r="P74" s="118" t="str">
        <f>IF('G2 MT Reading Scoresheet'!P74&lt;&gt;"",'G2 MT Reading Scoresheet'!P74,"")</f>
        <v/>
      </c>
      <c r="Q74" s="122" t="str">
        <f>IF('G2 MT Reading Scoresheet'!Q74&lt;&gt;"",'G2 MT Reading Scoresheet'!Q74,"")</f>
        <v/>
      </c>
      <c r="R74" s="81" t="str">
        <f>IF('G2 MT Reading Scoresheet'!R74&lt;&gt;"",'G2 MT Reading Scoresheet'!R74,"")</f>
        <v/>
      </c>
      <c r="S74" s="81" t="str">
        <f>IF('G2 MT Reading Scoresheet'!S74&lt;&gt;"",'G2 MT Reading Scoresheet'!S74,"")</f>
        <v/>
      </c>
      <c r="T74" s="82" t="str">
        <f>IF('G2 MT Reading Scoresheet'!T74&lt;&gt;"",'G2 MT Reading Scoresheet'!T74,"")</f>
        <v/>
      </c>
      <c r="U74" s="87" t="str">
        <f>IF('G2 MT Reading Scoresheet'!U74&lt;&gt;"",'G2 MT Reading Scoresheet'!U74,"")</f>
        <v/>
      </c>
      <c r="V74" s="271"/>
      <c r="Y74" s="221" t="str">
        <f t="shared" si="0"/>
        <v/>
      </c>
    </row>
    <row r="75" spans="1:25" ht="14.4" x14ac:dyDescent="0.3">
      <c r="A75" s="4">
        <f t="shared" si="1"/>
        <v>65</v>
      </c>
      <c r="B75" s="118" t="str">
        <f>IF('G2 MT Reading Scoresheet'!B75&lt;&gt;"",'G2 MT Reading Scoresheet'!B75,"")</f>
        <v/>
      </c>
      <c r="C75" s="133" t="str">
        <f>IF('G2 MT Reading Scoresheet'!C75&lt;&gt;"",'G2 MT Reading Scoresheet'!C75,"")</f>
        <v/>
      </c>
      <c r="D75" s="134" t="str">
        <f>IF('G2 MT Reading Scoresheet'!D75&lt;&gt;"",'G2 MT Reading Scoresheet'!D75,"")</f>
        <v/>
      </c>
      <c r="E75" s="135" t="str">
        <f>IF('G2 MT Reading Scoresheet'!E75&lt;&gt;"",'G2 MT Reading Scoresheet'!E75,"")</f>
        <v/>
      </c>
      <c r="F75" s="268" t="str">
        <f>IF('G2 MT Reading Scoresheet'!F75&lt;&gt;"",'G2 MT Reading Scoresheet'!F75,"")</f>
        <v/>
      </c>
      <c r="G75" s="262" t="str">
        <f>IF('G2 MT Reading Scoresheet'!G75&lt;&gt;"",'G2 MT Reading Scoresheet'!G75,"")</f>
        <v/>
      </c>
      <c r="H75" s="273" t="str">
        <f>IF('G2 MT Reading Scoresheet'!H75&lt;&gt;"",'G2 MT Reading Scoresheet'!H75,"")</f>
        <v/>
      </c>
      <c r="I75" s="81" t="str">
        <f>IF('G2 MT Reading Scoresheet'!I75&lt;&gt;"",'G2 MT Reading Scoresheet'!I75,"")</f>
        <v/>
      </c>
      <c r="J75" s="82" t="str">
        <f>IF('G2 MT Reading Scoresheet'!J75&lt;&gt;"",'G2 MT Reading Scoresheet'!J75,"")</f>
        <v/>
      </c>
      <c r="K75" s="274" t="str">
        <f>IF('G2 MT Reading Scoresheet'!K75&lt;&gt;"",'G2 MT Reading Scoresheet'!K75,"")</f>
        <v/>
      </c>
      <c r="L75" s="275" t="str">
        <f>IF('G2 MT Reading Scoresheet'!L75&lt;&gt;"",'G2 MT Reading Scoresheet'!L75,"")</f>
        <v/>
      </c>
      <c r="M75" s="118" t="str">
        <f>IF('G2 MT Reading Scoresheet'!M75&lt;&gt;"",'G2 MT Reading Scoresheet'!M75,"")</f>
        <v/>
      </c>
      <c r="N75" s="273" t="str">
        <f>IF('G2 MT Reading Scoresheet'!N75&lt;&gt;"",'G2 MT Reading Scoresheet'!N75,"")</f>
        <v/>
      </c>
      <c r="O75" s="273" t="str">
        <f>IF('G2 MT Reading Scoresheet'!O75&lt;&gt;"",'G2 MT Reading Scoresheet'!O75,"")</f>
        <v/>
      </c>
      <c r="P75" s="118" t="str">
        <f>IF('G2 MT Reading Scoresheet'!P75&lt;&gt;"",'G2 MT Reading Scoresheet'!P75,"")</f>
        <v/>
      </c>
      <c r="Q75" s="122" t="str">
        <f>IF('G2 MT Reading Scoresheet'!Q75&lt;&gt;"",'G2 MT Reading Scoresheet'!Q75,"")</f>
        <v/>
      </c>
      <c r="R75" s="273" t="str">
        <f>IF('G2 MT Reading Scoresheet'!R75&lt;&gt;"",'G2 MT Reading Scoresheet'!R75,"")</f>
        <v/>
      </c>
      <c r="S75" s="273" t="str">
        <f>IF('G2 MT Reading Scoresheet'!S75&lt;&gt;"",'G2 MT Reading Scoresheet'!S75,"")</f>
        <v/>
      </c>
      <c r="T75" s="276" t="str">
        <f>IF('G2 MT Reading Scoresheet'!T75&lt;&gt;"",'G2 MT Reading Scoresheet'!T75,"")</f>
        <v/>
      </c>
      <c r="U75" s="87" t="str">
        <f>IF('G2 MT Reading Scoresheet'!U75&lt;&gt;"",'G2 MT Reading Scoresheet'!U75,"")</f>
        <v/>
      </c>
      <c r="V75" s="277"/>
      <c r="Y75" s="221" t="str">
        <f t="shared" si="0"/>
        <v/>
      </c>
    </row>
    <row r="76" spans="1:25" ht="14.4" x14ac:dyDescent="0.3">
      <c r="A76" s="5">
        <f t="shared" si="1"/>
        <v>66</v>
      </c>
      <c r="B76" s="118" t="str">
        <f>IF('G2 MT Reading Scoresheet'!B76&lt;&gt;"",'G2 MT Reading Scoresheet'!B76,"")</f>
        <v/>
      </c>
      <c r="C76" s="133" t="str">
        <f>IF('G2 MT Reading Scoresheet'!C76&lt;&gt;"",'G2 MT Reading Scoresheet'!C76,"")</f>
        <v/>
      </c>
      <c r="D76" s="134" t="str">
        <f>IF('G2 MT Reading Scoresheet'!D76&lt;&gt;"",'G2 MT Reading Scoresheet'!D76,"")</f>
        <v/>
      </c>
      <c r="E76" s="135" t="str">
        <f>IF('G2 MT Reading Scoresheet'!E76&lt;&gt;"",'G2 MT Reading Scoresheet'!E76,"")</f>
        <v/>
      </c>
      <c r="F76" s="272" t="str">
        <f>IF('G2 MT Reading Scoresheet'!F76&lt;&gt;"",'G2 MT Reading Scoresheet'!F76,"")</f>
        <v/>
      </c>
      <c r="G76" s="269" t="str">
        <f>IF('G2 MT Reading Scoresheet'!G76&lt;&gt;"",'G2 MT Reading Scoresheet'!G76,"")</f>
        <v/>
      </c>
      <c r="H76" s="81" t="str">
        <f>IF('G2 MT Reading Scoresheet'!H76&lt;&gt;"",'G2 MT Reading Scoresheet'!H76,"")</f>
        <v/>
      </c>
      <c r="I76" s="81" t="str">
        <f>IF('G2 MT Reading Scoresheet'!I76&lt;&gt;"",'G2 MT Reading Scoresheet'!I76,"")</f>
        <v/>
      </c>
      <c r="J76" s="82" t="str">
        <f>IF('G2 MT Reading Scoresheet'!J76&lt;&gt;"",'G2 MT Reading Scoresheet'!J76,"")</f>
        <v/>
      </c>
      <c r="K76" s="270" t="str">
        <f>IF('G2 MT Reading Scoresheet'!K76&lt;&gt;"",'G2 MT Reading Scoresheet'!K76,"")</f>
        <v/>
      </c>
      <c r="L76" s="87" t="str">
        <f>IF('G2 MT Reading Scoresheet'!L76&lt;&gt;"",'G2 MT Reading Scoresheet'!L76,"")</f>
        <v/>
      </c>
      <c r="M76" s="118" t="str">
        <f>IF('G2 MT Reading Scoresheet'!M76&lt;&gt;"",'G2 MT Reading Scoresheet'!M76,"")</f>
        <v/>
      </c>
      <c r="N76" s="81" t="str">
        <f>IF('G2 MT Reading Scoresheet'!N76&lt;&gt;"",'G2 MT Reading Scoresheet'!N76,"")</f>
        <v/>
      </c>
      <c r="O76" s="81" t="str">
        <f>IF('G2 MT Reading Scoresheet'!O76&lt;&gt;"",'G2 MT Reading Scoresheet'!O76,"")</f>
        <v/>
      </c>
      <c r="P76" s="118" t="str">
        <f>IF('G2 MT Reading Scoresheet'!P76&lt;&gt;"",'G2 MT Reading Scoresheet'!P76,"")</f>
        <v/>
      </c>
      <c r="Q76" s="122" t="str">
        <f>IF('G2 MT Reading Scoresheet'!Q76&lt;&gt;"",'G2 MT Reading Scoresheet'!Q76,"")</f>
        <v/>
      </c>
      <c r="R76" s="81" t="str">
        <f>IF('G2 MT Reading Scoresheet'!R76&lt;&gt;"",'G2 MT Reading Scoresheet'!R76,"")</f>
        <v/>
      </c>
      <c r="S76" s="81" t="str">
        <f>IF('G2 MT Reading Scoresheet'!S76&lt;&gt;"",'G2 MT Reading Scoresheet'!S76,"")</f>
        <v/>
      </c>
      <c r="T76" s="82" t="str">
        <f>IF('G2 MT Reading Scoresheet'!T76&lt;&gt;"",'G2 MT Reading Scoresheet'!T76,"")</f>
        <v/>
      </c>
      <c r="U76" s="87" t="str">
        <f>IF('G2 MT Reading Scoresheet'!U76&lt;&gt;"",'G2 MT Reading Scoresheet'!U76,"")</f>
        <v/>
      </c>
      <c r="V76" s="271"/>
      <c r="Y76" s="221" t="str">
        <f t="shared" ref="Y76:Y110" si="2">IF(C76&lt;&gt;"",R76/6,"")</f>
        <v/>
      </c>
    </row>
    <row r="77" spans="1:25" ht="14.4" x14ac:dyDescent="0.3">
      <c r="A77" s="4">
        <f t="shared" si="1"/>
        <v>67</v>
      </c>
      <c r="B77" s="118" t="str">
        <f>IF('G2 MT Reading Scoresheet'!B77&lt;&gt;"",'G2 MT Reading Scoresheet'!B77,"")</f>
        <v/>
      </c>
      <c r="C77" s="133" t="str">
        <f>IF('G2 MT Reading Scoresheet'!C77&lt;&gt;"",'G2 MT Reading Scoresheet'!C77,"")</f>
        <v/>
      </c>
      <c r="D77" s="134" t="str">
        <f>IF('G2 MT Reading Scoresheet'!D77&lt;&gt;"",'G2 MT Reading Scoresheet'!D77,"")</f>
        <v/>
      </c>
      <c r="E77" s="135" t="str">
        <f>IF('G2 MT Reading Scoresheet'!E77&lt;&gt;"",'G2 MT Reading Scoresheet'!E77,"")</f>
        <v/>
      </c>
      <c r="F77" s="268" t="str">
        <f>IF('G2 MT Reading Scoresheet'!F77&lt;&gt;"",'G2 MT Reading Scoresheet'!F77,"")</f>
        <v/>
      </c>
      <c r="G77" s="262" t="str">
        <f>IF('G2 MT Reading Scoresheet'!G77&lt;&gt;"",'G2 MT Reading Scoresheet'!G77,"")</f>
        <v/>
      </c>
      <c r="H77" s="273" t="str">
        <f>IF('G2 MT Reading Scoresheet'!H77&lt;&gt;"",'G2 MT Reading Scoresheet'!H77,"")</f>
        <v/>
      </c>
      <c r="I77" s="81" t="str">
        <f>IF('G2 MT Reading Scoresheet'!I77&lt;&gt;"",'G2 MT Reading Scoresheet'!I77,"")</f>
        <v/>
      </c>
      <c r="J77" s="82" t="str">
        <f>IF('G2 MT Reading Scoresheet'!J77&lt;&gt;"",'G2 MT Reading Scoresheet'!J77,"")</f>
        <v/>
      </c>
      <c r="K77" s="274" t="str">
        <f>IF('G2 MT Reading Scoresheet'!K77&lt;&gt;"",'G2 MT Reading Scoresheet'!K77,"")</f>
        <v/>
      </c>
      <c r="L77" s="275" t="str">
        <f>IF('G2 MT Reading Scoresheet'!L77&lt;&gt;"",'G2 MT Reading Scoresheet'!L77,"")</f>
        <v/>
      </c>
      <c r="M77" s="118" t="str">
        <f>IF('G2 MT Reading Scoresheet'!M77&lt;&gt;"",'G2 MT Reading Scoresheet'!M77,"")</f>
        <v/>
      </c>
      <c r="N77" s="273" t="str">
        <f>IF('G2 MT Reading Scoresheet'!N77&lt;&gt;"",'G2 MT Reading Scoresheet'!N77,"")</f>
        <v/>
      </c>
      <c r="O77" s="273" t="str">
        <f>IF('G2 MT Reading Scoresheet'!O77&lt;&gt;"",'G2 MT Reading Scoresheet'!O77,"")</f>
        <v/>
      </c>
      <c r="P77" s="118" t="str">
        <f>IF('G2 MT Reading Scoresheet'!P77&lt;&gt;"",'G2 MT Reading Scoresheet'!P77,"")</f>
        <v/>
      </c>
      <c r="Q77" s="122" t="str">
        <f>IF('G2 MT Reading Scoresheet'!Q77&lt;&gt;"",'G2 MT Reading Scoresheet'!Q77,"")</f>
        <v/>
      </c>
      <c r="R77" s="273" t="str">
        <f>IF('G2 MT Reading Scoresheet'!R77&lt;&gt;"",'G2 MT Reading Scoresheet'!R77,"")</f>
        <v/>
      </c>
      <c r="S77" s="273" t="str">
        <f>IF('G2 MT Reading Scoresheet'!S77&lt;&gt;"",'G2 MT Reading Scoresheet'!S77,"")</f>
        <v/>
      </c>
      <c r="T77" s="276" t="str">
        <f>IF('G2 MT Reading Scoresheet'!T77&lt;&gt;"",'G2 MT Reading Scoresheet'!T77,"")</f>
        <v/>
      </c>
      <c r="U77" s="87" t="str">
        <f>IF('G2 MT Reading Scoresheet'!U77&lt;&gt;"",'G2 MT Reading Scoresheet'!U77,"")</f>
        <v/>
      </c>
      <c r="V77" s="277"/>
      <c r="Y77" s="221" t="str">
        <f t="shared" si="2"/>
        <v/>
      </c>
    </row>
    <row r="78" spans="1:25" ht="14.4" x14ac:dyDescent="0.3">
      <c r="A78" s="5">
        <f t="shared" si="1"/>
        <v>68</v>
      </c>
      <c r="B78" s="118" t="str">
        <f>IF('G2 MT Reading Scoresheet'!B78&lt;&gt;"",'G2 MT Reading Scoresheet'!B78,"")</f>
        <v/>
      </c>
      <c r="C78" s="133" t="str">
        <f>IF('G2 MT Reading Scoresheet'!C78&lt;&gt;"",'G2 MT Reading Scoresheet'!C78,"")</f>
        <v/>
      </c>
      <c r="D78" s="134" t="str">
        <f>IF('G2 MT Reading Scoresheet'!D78&lt;&gt;"",'G2 MT Reading Scoresheet'!D78,"")</f>
        <v/>
      </c>
      <c r="E78" s="135" t="str">
        <f>IF('G2 MT Reading Scoresheet'!E78&lt;&gt;"",'G2 MT Reading Scoresheet'!E78,"")</f>
        <v/>
      </c>
      <c r="F78" s="272" t="str">
        <f>IF('G2 MT Reading Scoresheet'!F78&lt;&gt;"",'G2 MT Reading Scoresheet'!F78,"")</f>
        <v/>
      </c>
      <c r="G78" s="269" t="str">
        <f>IF('G2 MT Reading Scoresheet'!G78&lt;&gt;"",'G2 MT Reading Scoresheet'!G78,"")</f>
        <v/>
      </c>
      <c r="H78" s="81" t="str">
        <f>IF('G2 MT Reading Scoresheet'!H78&lt;&gt;"",'G2 MT Reading Scoresheet'!H78,"")</f>
        <v/>
      </c>
      <c r="I78" s="81" t="str">
        <f>IF('G2 MT Reading Scoresheet'!I78&lt;&gt;"",'G2 MT Reading Scoresheet'!I78,"")</f>
        <v/>
      </c>
      <c r="J78" s="82" t="str">
        <f>IF('G2 MT Reading Scoresheet'!J78&lt;&gt;"",'G2 MT Reading Scoresheet'!J78,"")</f>
        <v/>
      </c>
      <c r="K78" s="270" t="str">
        <f>IF('G2 MT Reading Scoresheet'!K78&lt;&gt;"",'G2 MT Reading Scoresheet'!K78,"")</f>
        <v/>
      </c>
      <c r="L78" s="87" t="str">
        <f>IF('G2 MT Reading Scoresheet'!L78&lt;&gt;"",'G2 MT Reading Scoresheet'!L78,"")</f>
        <v/>
      </c>
      <c r="M78" s="118" t="str">
        <f>IF('G2 MT Reading Scoresheet'!M78&lt;&gt;"",'G2 MT Reading Scoresheet'!M78,"")</f>
        <v/>
      </c>
      <c r="N78" s="81" t="str">
        <f>IF('G2 MT Reading Scoresheet'!N78&lt;&gt;"",'G2 MT Reading Scoresheet'!N78,"")</f>
        <v/>
      </c>
      <c r="O78" s="81" t="str">
        <f>IF('G2 MT Reading Scoresheet'!O78&lt;&gt;"",'G2 MT Reading Scoresheet'!O78,"")</f>
        <v/>
      </c>
      <c r="P78" s="118" t="str">
        <f>IF('G2 MT Reading Scoresheet'!P78&lt;&gt;"",'G2 MT Reading Scoresheet'!P78,"")</f>
        <v/>
      </c>
      <c r="Q78" s="122" t="str">
        <f>IF('G2 MT Reading Scoresheet'!Q78&lt;&gt;"",'G2 MT Reading Scoresheet'!Q78,"")</f>
        <v/>
      </c>
      <c r="R78" s="81" t="str">
        <f>IF('G2 MT Reading Scoresheet'!R78&lt;&gt;"",'G2 MT Reading Scoresheet'!R78,"")</f>
        <v/>
      </c>
      <c r="S78" s="81" t="str">
        <f>IF('G2 MT Reading Scoresheet'!S78&lt;&gt;"",'G2 MT Reading Scoresheet'!S78,"")</f>
        <v/>
      </c>
      <c r="T78" s="82" t="str">
        <f>IF('G2 MT Reading Scoresheet'!T78&lt;&gt;"",'G2 MT Reading Scoresheet'!T78,"")</f>
        <v/>
      </c>
      <c r="U78" s="87" t="str">
        <f>IF('G2 MT Reading Scoresheet'!U78&lt;&gt;"",'G2 MT Reading Scoresheet'!U78,"")</f>
        <v/>
      </c>
      <c r="V78" s="271"/>
      <c r="Y78" s="221" t="str">
        <f t="shared" si="2"/>
        <v/>
      </c>
    </row>
    <row r="79" spans="1:25" ht="14.4" x14ac:dyDescent="0.3">
      <c r="A79" s="4">
        <f t="shared" si="1"/>
        <v>69</v>
      </c>
      <c r="B79" s="118" t="str">
        <f>IF('G2 MT Reading Scoresheet'!B79&lt;&gt;"",'G2 MT Reading Scoresheet'!B79,"")</f>
        <v/>
      </c>
      <c r="C79" s="133" t="str">
        <f>IF('G2 MT Reading Scoresheet'!C79&lt;&gt;"",'G2 MT Reading Scoresheet'!C79,"")</f>
        <v/>
      </c>
      <c r="D79" s="134" t="str">
        <f>IF('G2 MT Reading Scoresheet'!D79&lt;&gt;"",'G2 MT Reading Scoresheet'!D79,"")</f>
        <v/>
      </c>
      <c r="E79" s="135" t="str">
        <f>IF('G2 MT Reading Scoresheet'!E79&lt;&gt;"",'G2 MT Reading Scoresheet'!E79,"")</f>
        <v/>
      </c>
      <c r="F79" s="268" t="str">
        <f>IF('G2 MT Reading Scoresheet'!F79&lt;&gt;"",'G2 MT Reading Scoresheet'!F79,"")</f>
        <v/>
      </c>
      <c r="G79" s="262" t="str">
        <f>IF('G2 MT Reading Scoresheet'!G79&lt;&gt;"",'G2 MT Reading Scoresheet'!G79,"")</f>
        <v/>
      </c>
      <c r="H79" s="273" t="str">
        <f>IF('G2 MT Reading Scoresheet'!H79&lt;&gt;"",'G2 MT Reading Scoresheet'!H79,"")</f>
        <v/>
      </c>
      <c r="I79" s="81" t="str">
        <f>IF('G2 MT Reading Scoresheet'!I79&lt;&gt;"",'G2 MT Reading Scoresheet'!I79,"")</f>
        <v/>
      </c>
      <c r="J79" s="82" t="str">
        <f>IF('G2 MT Reading Scoresheet'!J79&lt;&gt;"",'G2 MT Reading Scoresheet'!J79,"")</f>
        <v/>
      </c>
      <c r="K79" s="274" t="str">
        <f>IF('G2 MT Reading Scoresheet'!K79&lt;&gt;"",'G2 MT Reading Scoresheet'!K79,"")</f>
        <v/>
      </c>
      <c r="L79" s="275" t="str">
        <f>IF('G2 MT Reading Scoresheet'!L79&lt;&gt;"",'G2 MT Reading Scoresheet'!L79,"")</f>
        <v/>
      </c>
      <c r="M79" s="118" t="str">
        <f>IF('G2 MT Reading Scoresheet'!M79&lt;&gt;"",'G2 MT Reading Scoresheet'!M79,"")</f>
        <v/>
      </c>
      <c r="N79" s="273" t="str">
        <f>IF('G2 MT Reading Scoresheet'!N79&lt;&gt;"",'G2 MT Reading Scoresheet'!N79,"")</f>
        <v/>
      </c>
      <c r="O79" s="273" t="str">
        <f>IF('G2 MT Reading Scoresheet'!O79&lt;&gt;"",'G2 MT Reading Scoresheet'!O79,"")</f>
        <v/>
      </c>
      <c r="P79" s="118" t="str">
        <f>IF('G2 MT Reading Scoresheet'!P79&lt;&gt;"",'G2 MT Reading Scoresheet'!P79,"")</f>
        <v/>
      </c>
      <c r="Q79" s="122" t="str">
        <f>IF('G2 MT Reading Scoresheet'!Q79&lt;&gt;"",'G2 MT Reading Scoresheet'!Q79,"")</f>
        <v/>
      </c>
      <c r="R79" s="273" t="str">
        <f>IF('G2 MT Reading Scoresheet'!R79&lt;&gt;"",'G2 MT Reading Scoresheet'!R79,"")</f>
        <v/>
      </c>
      <c r="S79" s="273" t="str">
        <f>IF('G2 MT Reading Scoresheet'!S79&lt;&gt;"",'G2 MT Reading Scoresheet'!S79,"")</f>
        <v/>
      </c>
      <c r="T79" s="276" t="str">
        <f>IF('G2 MT Reading Scoresheet'!T79&lt;&gt;"",'G2 MT Reading Scoresheet'!T79,"")</f>
        <v/>
      </c>
      <c r="U79" s="87" t="str">
        <f>IF('G2 MT Reading Scoresheet'!U79&lt;&gt;"",'G2 MT Reading Scoresheet'!U79,"")</f>
        <v/>
      </c>
      <c r="V79" s="277"/>
      <c r="Y79" s="221" t="str">
        <f t="shared" si="2"/>
        <v/>
      </c>
    </row>
    <row r="80" spans="1:25" ht="14.4" x14ac:dyDescent="0.3">
      <c r="A80" s="5">
        <f t="shared" si="1"/>
        <v>70</v>
      </c>
      <c r="B80" s="118" t="str">
        <f>IF('G2 MT Reading Scoresheet'!B80&lt;&gt;"",'G2 MT Reading Scoresheet'!B80,"")</f>
        <v/>
      </c>
      <c r="C80" s="133" t="str">
        <f>IF('G2 MT Reading Scoresheet'!C80&lt;&gt;"",'G2 MT Reading Scoresheet'!C80,"")</f>
        <v/>
      </c>
      <c r="D80" s="134" t="str">
        <f>IF('G2 MT Reading Scoresheet'!D80&lt;&gt;"",'G2 MT Reading Scoresheet'!D80,"")</f>
        <v/>
      </c>
      <c r="E80" s="135" t="str">
        <f>IF('G2 MT Reading Scoresheet'!E80&lt;&gt;"",'G2 MT Reading Scoresheet'!E80,"")</f>
        <v/>
      </c>
      <c r="F80" s="272" t="str">
        <f>IF('G2 MT Reading Scoresheet'!F80&lt;&gt;"",'G2 MT Reading Scoresheet'!F80,"")</f>
        <v/>
      </c>
      <c r="G80" s="269" t="str">
        <f>IF('G2 MT Reading Scoresheet'!G80&lt;&gt;"",'G2 MT Reading Scoresheet'!G80,"")</f>
        <v/>
      </c>
      <c r="H80" s="81" t="str">
        <f>IF('G2 MT Reading Scoresheet'!H80&lt;&gt;"",'G2 MT Reading Scoresheet'!H80,"")</f>
        <v/>
      </c>
      <c r="I80" s="81" t="str">
        <f>IF('G2 MT Reading Scoresheet'!I80&lt;&gt;"",'G2 MT Reading Scoresheet'!I80,"")</f>
        <v/>
      </c>
      <c r="J80" s="82" t="str">
        <f>IF('G2 MT Reading Scoresheet'!J80&lt;&gt;"",'G2 MT Reading Scoresheet'!J80,"")</f>
        <v/>
      </c>
      <c r="K80" s="270" t="str">
        <f>IF('G2 MT Reading Scoresheet'!K80&lt;&gt;"",'G2 MT Reading Scoresheet'!K80,"")</f>
        <v/>
      </c>
      <c r="L80" s="87" t="str">
        <f>IF('G2 MT Reading Scoresheet'!L80&lt;&gt;"",'G2 MT Reading Scoresheet'!L80,"")</f>
        <v/>
      </c>
      <c r="M80" s="118" t="str">
        <f>IF('G2 MT Reading Scoresheet'!M80&lt;&gt;"",'G2 MT Reading Scoresheet'!M80,"")</f>
        <v/>
      </c>
      <c r="N80" s="81" t="str">
        <f>IF('G2 MT Reading Scoresheet'!N80&lt;&gt;"",'G2 MT Reading Scoresheet'!N80,"")</f>
        <v/>
      </c>
      <c r="O80" s="81" t="str">
        <f>IF('G2 MT Reading Scoresheet'!O80&lt;&gt;"",'G2 MT Reading Scoresheet'!O80,"")</f>
        <v/>
      </c>
      <c r="P80" s="118" t="str">
        <f>IF('G2 MT Reading Scoresheet'!P80&lt;&gt;"",'G2 MT Reading Scoresheet'!P80,"")</f>
        <v/>
      </c>
      <c r="Q80" s="122" t="str">
        <f>IF('G2 MT Reading Scoresheet'!Q80&lt;&gt;"",'G2 MT Reading Scoresheet'!Q80,"")</f>
        <v/>
      </c>
      <c r="R80" s="81" t="str">
        <f>IF('G2 MT Reading Scoresheet'!R80&lt;&gt;"",'G2 MT Reading Scoresheet'!R80,"")</f>
        <v/>
      </c>
      <c r="S80" s="81" t="str">
        <f>IF('G2 MT Reading Scoresheet'!S80&lt;&gt;"",'G2 MT Reading Scoresheet'!S80,"")</f>
        <v/>
      </c>
      <c r="T80" s="82" t="str">
        <f>IF('G2 MT Reading Scoresheet'!T80&lt;&gt;"",'G2 MT Reading Scoresheet'!T80,"")</f>
        <v/>
      </c>
      <c r="U80" s="87" t="str">
        <f>IF('G2 MT Reading Scoresheet'!U80&lt;&gt;"",'G2 MT Reading Scoresheet'!U80,"")</f>
        <v/>
      </c>
      <c r="V80" s="271"/>
      <c r="Y80" s="221" t="str">
        <f t="shared" si="2"/>
        <v/>
      </c>
    </row>
    <row r="81" spans="1:25" ht="14.4" x14ac:dyDescent="0.3">
      <c r="A81" s="4">
        <f t="shared" si="1"/>
        <v>71</v>
      </c>
      <c r="B81" s="118" t="str">
        <f>IF('G2 MT Reading Scoresheet'!B81&lt;&gt;"",'G2 MT Reading Scoresheet'!B81,"")</f>
        <v/>
      </c>
      <c r="C81" s="133" t="str">
        <f>IF('G2 MT Reading Scoresheet'!C81&lt;&gt;"",'G2 MT Reading Scoresheet'!C81,"")</f>
        <v/>
      </c>
      <c r="D81" s="134" t="str">
        <f>IF('G2 MT Reading Scoresheet'!D81&lt;&gt;"",'G2 MT Reading Scoresheet'!D81,"")</f>
        <v/>
      </c>
      <c r="E81" s="135" t="str">
        <f>IF('G2 MT Reading Scoresheet'!E81&lt;&gt;"",'G2 MT Reading Scoresheet'!E81,"")</f>
        <v/>
      </c>
      <c r="F81" s="268" t="str">
        <f>IF('G2 MT Reading Scoresheet'!F81&lt;&gt;"",'G2 MT Reading Scoresheet'!F81,"")</f>
        <v/>
      </c>
      <c r="G81" s="262" t="str">
        <f>IF('G2 MT Reading Scoresheet'!G81&lt;&gt;"",'G2 MT Reading Scoresheet'!G81,"")</f>
        <v/>
      </c>
      <c r="H81" s="273" t="str">
        <f>IF('G2 MT Reading Scoresheet'!H81&lt;&gt;"",'G2 MT Reading Scoresheet'!H81,"")</f>
        <v/>
      </c>
      <c r="I81" s="81" t="str">
        <f>IF('G2 MT Reading Scoresheet'!I81&lt;&gt;"",'G2 MT Reading Scoresheet'!I81,"")</f>
        <v/>
      </c>
      <c r="J81" s="82" t="str">
        <f>IF('G2 MT Reading Scoresheet'!J81&lt;&gt;"",'G2 MT Reading Scoresheet'!J81,"")</f>
        <v/>
      </c>
      <c r="K81" s="274" t="str">
        <f>IF('G2 MT Reading Scoresheet'!K81&lt;&gt;"",'G2 MT Reading Scoresheet'!K81,"")</f>
        <v/>
      </c>
      <c r="L81" s="275" t="str">
        <f>IF('G2 MT Reading Scoresheet'!L81&lt;&gt;"",'G2 MT Reading Scoresheet'!L81,"")</f>
        <v/>
      </c>
      <c r="M81" s="118" t="str">
        <f>IF('G2 MT Reading Scoresheet'!M81&lt;&gt;"",'G2 MT Reading Scoresheet'!M81,"")</f>
        <v/>
      </c>
      <c r="N81" s="273" t="str">
        <f>IF('G2 MT Reading Scoresheet'!N81&lt;&gt;"",'G2 MT Reading Scoresheet'!N81,"")</f>
        <v/>
      </c>
      <c r="O81" s="273" t="str">
        <f>IF('G2 MT Reading Scoresheet'!O81&lt;&gt;"",'G2 MT Reading Scoresheet'!O81,"")</f>
        <v/>
      </c>
      <c r="P81" s="118" t="str">
        <f>IF('G2 MT Reading Scoresheet'!P81&lt;&gt;"",'G2 MT Reading Scoresheet'!P81,"")</f>
        <v/>
      </c>
      <c r="Q81" s="122" t="str">
        <f>IF('G2 MT Reading Scoresheet'!Q81&lt;&gt;"",'G2 MT Reading Scoresheet'!Q81,"")</f>
        <v/>
      </c>
      <c r="R81" s="273" t="str">
        <f>IF('G2 MT Reading Scoresheet'!R81&lt;&gt;"",'G2 MT Reading Scoresheet'!R81,"")</f>
        <v/>
      </c>
      <c r="S81" s="273" t="str">
        <f>IF('G2 MT Reading Scoresheet'!S81&lt;&gt;"",'G2 MT Reading Scoresheet'!S81,"")</f>
        <v/>
      </c>
      <c r="T81" s="276" t="str">
        <f>IF('G2 MT Reading Scoresheet'!T81&lt;&gt;"",'G2 MT Reading Scoresheet'!T81,"")</f>
        <v/>
      </c>
      <c r="U81" s="87" t="str">
        <f>IF('G2 MT Reading Scoresheet'!U81&lt;&gt;"",'G2 MT Reading Scoresheet'!U81,"")</f>
        <v/>
      </c>
      <c r="V81" s="277"/>
      <c r="Y81" s="221" t="str">
        <f t="shared" si="2"/>
        <v/>
      </c>
    </row>
    <row r="82" spans="1:25" ht="14.4" x14ac:dyDescent="0.3">
      <c r="A82" s="5">
        <f t="shared" si="1"/>
        <v>72</v>
      </c>
      <c r="B82" s="118" t="str">
        <f>IF('G2 MT Reading Scoresheet'!B82&lt;&gt;"",'G2 MT Reading Scoresheet'!B82,"")</f>
        <v/>
      </c>
      <c r="C82" s="133" t="str">
        <f>IF('G2 MT Reading Scoresheet'!C82&lt;&gt;"",'G2 MT Reading Scoresheet'!C82,"")</f>
        <v/>
      </c>
      <c r="D82" s="134" t="str">
        <f>IF('G2 MT Reading Scoresheet'!D82&lt;&gt;"",'G2 MT Reading Scoresheet'!D82,"")</f>
        <v/>
      </c>
      <c r="E82" s="135" t="str">
        <f>IF('G2 MT Reading Scoresheet'!E82&lt;&gt;"",'G2 MT Reading Scoresheet'!E82,"")</f>
        <v/>
      </c>
      <c r="F82" s="272" t="str">
        <f>IF('G2 MT Reading Scoresheet'!F82&lt;&gt;"",'G2 MT Reading Scoresheet'!F82,"")</f>
        <v/>
      </c>
      <c r="G82" s="269" t="str">
        <f>IF('G2 MT Reading Scoresheet'!G82&lt;&gt;"",'G2 MT Reading Scoresheet'!G82,"")</f>
        <v/>
      </c>
      <c r="H82" s="81" t="str">
        <f>IF('G2 MT Reading Scoresheet'!H82&lt;&gt;"",'G2 MT Reading Scoresheet'!H82,"")</f>
        <v/>
      </c>
      <c r="I82" s="81" t="str">
        <f>IF('G2 MT Reading Scoresheet'!I82&lt;&gt;"",'G2 MT Reading Scoresheet'!I82,"")</f>
        <v/>
      </c>
      <c r="J82" s="82" t="str">
        <f>IF('G2 MT Reading Scoresheet'!J82&lt;&gt;"",'G2 MT Reading Scoresheet'!J82,"")</f>
        <v/>
      </c>
      <c r="K82" s="270" t="str">
        <f>IF('G2 MT Reading Scoresheet'!K82&lt;&gt;"",'G2 MT Reading Scoresheet'!K82,"")</f>
        <v/>
      </c>
      <c r="L82" s="87" t="str">
        <f>IF('G2 MT Reading Scoresheet'!L82&lt;&gt;"",'G2 MT Reading Scoresheet'!L82,"")</f>
        <v/>
      </c>
      <c r="M82" s="118" t="str">
        <f>IF('G2 MT Reading Scoresheet'!M82&lt;&gt;"",'G2 MT Reading Scoresheet'!M82,"")</f>
        <v/>
      </c>
      <c r="N82" s="81" t="str">
        <f>IF('G2 MT Reading Scoresheet'!N82&lt;&gt;"",'G2 MT Reading Scoresheet'!N82,"")</f>
        <v/>
      </c>
      <c r="O82" s="81" t="str">
        <f>IF('G2 MT Reading Scoresheet'!O82&lt;&gt;"",'G2 MT Reading Scoresheet'!O82,"")</f>
        <v/>
      </c>
      <c r="P82" s="118" t="str">
        <f>IF('G2 MT Reading Scoresheet'!P82&lt;&gt;"",'G2 MT Reading Scoresheet'!P82,"")</f>
        <v/>
      </c>
      <c r="Q82" s="122" t="str">
        <f>IF('G2 MT Reading Scoresheet'!Q82&lt;&gt;"",'G2 MT Reading Scoresheet'!Q82,"")</f>
        <v/>
      </c>
      <c r="R82" s="81" t="str">
        <f>IF('G2 MT Reading Scoresheet'!R82&lt;&gt;"",'G2 MT Reading Scoresheet'!R82,"")</f>
        <v/>
      </c>
      <c r="S82" s="81" t="str">
        <f>IF('G2 MT Reading Scoresheet'!S82&lt;&gt;"",'G2 MT Reading Scoresheet'!S82,"")</f>
        <v/>
      </c>
      <c r="T82" s="82" t="str">
        <f>IF('G2 MT Reading Scoresheet'!T82&lt;&gt;"",'G2 MT Reading Scoresheet'!T82,"")</f>
        <v/>
      </c>
      <c r="U82" s="87" t="str">
        <f>IF('G2 MT Reading Scoresheet'!U82&lt;&gt;"",'G2 MT Reading Scoresheet'!U82,"")</f>
        <v/>
      </c>
      <c r="V82" s="271"/>
      <c r="Y82" s="221" t="str">
        <f t="shared" si="2"/>
        <v/>
      </c>
    </row>
    <row r="83" spans="1:25" ht="14.4" x14ac:dyDescent="0.3">
      <c r="A83" s="4">
        <f t="shared" si="1"/>
        <v>73</v>
      </c>
      <c r="B83" s="118" t="str">
        <f>IF('G2 MT Reading Scoresheet'!B83&lt;&gt;"",'G2 MT Reading Scoresheet'!B83,"")</f>
        <v/>
      </c>
      <c r="C83" s="133" t="str">
        <f>IF('G2 MT Reading Scoresheet'!C83&lt;&gt;"",'G2 MT Reading Scoresheet'!C83,"")</f>
        <v/>
      </c>
      <c r="D83" s="134" t="str">
        <f>IF('G2 MT Reading Scoresheet'!D83&lt;&gt;"",'G2 MT Reading Scoresheet'!D83,"")</f>
        <v/>
      </c>
      <c r="E83" s="135" t="str">
        <f>IF('G2 MT Reading Scoresheet'!E83&lt;&gt;"",'G2 MT Reading Scoresheet'!E83,"")</f>
        <v/>
      </c>
      <c r="F83" s="268" t="str">
        <f>IF('G2 MT Reading Scoresheet'!F83&lt;&gt;"",'G2 MT Reading Scoresheet'!F83,"")</f>
        <v/>
      </c>
      <c r="G83" s="262" t="str">
        <f>IF('G2 MT Reading Scoresheet'!G83&lt;&gt;"",'G2 MT Reading Scoresheet'!G83,"")</f>
        <v/>
      </c>
      <c r="H83" s="273" t="str">
        <f>IF('G2 MT Reading Scoresheet'!H83&lt;&gt;"",'G2 MT Reading Scoresheet'!H83,"")</f>
        <v/>
      </c>
      <c r="I83" s="81" t="str">
        <f>IF('G2 MT Reading Scoresheet'!I83&lt;&gt;"",'G2 MT Reading Scoresheet'!I83,"")</f>
        <v/>
      </c>
      <c r="J83" s="82" t="str">
        <f>IF('G2 MT Reading Scoresheet'!J83&lt;&gt;"",'G2 MT Reading Scoresheet'!J83,"")</f>
        <v/>
      </c>
      <c r="K83" s="274" t="str">
        <f>IF('G2 MT Reading Scoresheet'!K83&lt;&gt;"",'G2 MT Reading Scoresheet'!K83,"")</f>
        <v/>
      </c>
      <c r="L83" s="275" t="str">
        <f>IF('G2 MT Reading Scoresheet'!L83&lt;&gt;"",'G2 MT Reading Scoresheet'!L83,"")</f>
        <v/>
      </c>
      <c r="M83" s="118" t="str">
        <f>IF('G2 MT Reading Scoresheet'!M83&lt;&gt;"",'G2 MT Reading Scoresheet'!M83,"")</f>
        <v/>
      </c>
      <c r="N83" s="273" t="str">
        <f>IF('G2 MT Reading Scoresheet'!N83&lt;&gt;"",'G2 MT Reading Scoresheet'!N83,"")</f>
        <v/>
      </c>
      <c r="O83" s="273" t="str">
        <f>IF('G2 MT Reading Scoresheet'!O83&lt;&gt;"",'G2 MT Reading Scoresheet'!O83,"")</f>
        <v/>
      </c>
      <c r="P83" s="118" t="str">
        <f>IF('G2 MT Reading Scoresheet'!P83&lt;&gt;"",'G2 MT Reading Scoresheet'!P83,"")</f>
        <v/>
      </c>
      <c r="Q83" s="122" t="str">
        <f>IF('G2 MT Reading Scoresheet'!Q83&lt;&gt;"",'G2 MT Reading Scoresheet'!Q83,"")</f>
        <v/>
      </c>
      <c r="R83" s="273" t="str">
        <f>IF('G2 MT Reading Scoresheet'!R83&lt;&gt;"",'G2 MT Reading Scoresheet'!R83,"")</f>
        <v/>
      </c>
      <c r="S83" s="273" t="str">
        <f>IF('G2 MT Reading Scoresheet'!S83&lt;&gt;"",'G2 MT Reading Scoresheet'!S83,"")</f>
        <v/>
      </c>
      <c r="T83" s="276" t="str">
        <f>IF('G2 MT Reading Scoresheet'!T83&lt;&gt;"",'G2 MT Reading Scoresheet'!T83,"")</f>
        <v/>
      </c>
      <c r="U83" s="87" t="str">
        <f>IF('G2 MT Reading Scoresheet'!U83&lt;&gt;"",'G2 MT Reading Scoresheet'!U83,"")</f>
        <v/>
      </c>
      <c r="V83" s="277"/>
      <c r="Y83" s="221" t="str">
        <f t="shared" si="2"/>
        <v/>
      </c>
    </row>
    <row r="84" spans="1:25" ht="14.4" x14ac:dyDescent="0.3">
      <c r="A84" s="5">
        <f t="shared" si="1"/>
        <v>74</v>
      </c>
      <c r="B84" s="118" t="str">
        <f>IF('G2 MT Reading Scoresheet'!B84&lt;&gt;"",'G2 MT Reading Scoresheet'!B84,"")</f>
        <v/>
      </c>
      <c r="C84" s="133" t="str">
        <f>IF('G2 MT Reading Scoresheet'!C84&lt;&gt;"",'G2 MT Reading Scoresheet'!C84,"")</f>
        <v/>
      </c>
      <c r="D84" s="134" t="str">
        <f>IF('G2 MT Reading Scoresheet'!D84&lt;&gt;"",'G2 MT Reading Scoresheet'!D84,"")</f>
        <v/>
      </c>
      <c r="E84" s="135" t="str">
        <f>IF('G2 MT Reading Scoresheet'!E84&lt;&gt;"",'G2 MT Reading Scoresheet'!E84,"")</f>
        <v/>
      </c>
      <c r="F84" s="272" t="str">
        <f>IF('G2 MT Reading Scoresheet'!F84&lt;&gt;"",'G2 MT Reading Scoresheet'!F84,"")</f>
        <v/>
      </c>
      <c r="G84" s="269" t="str">
        <f>IF('G2 MT Reading Scoresheet'!G84&lt;&gt;"",'G2 MT Reading Scoresheet'!G84,"")</f>
        <v/>
      </c>
      <c r="H84" s="81" t="str">
        <f>IF('G2 MT Reading Scoresheet'!H84&lt;&gt;"",'G2 MT Reading Scoresheet'!H84,"")</f>
        <v/>
      </c>
      <c r="I84" s="81" t="str">
        <f>IF('G2 MT Reading Scoresheet'!I84&lt;&gt;"",'G2 MT Reading Scoresheet'!I84,"")</f>
        <v/>
      </c>
      <c r="J84" s="82" t="str">
        <f>IF('G2 MT Reading Scoresheet'!J84&lt;&gt;"",'G2 MT Reading Scoresheet'!J84,"")</f>
        <v/>
      </c>
      <c r="K84" s="270" t="str">
        <f>IF('G2 MT Reading Scoresheet'!K84&lt;&gt;"",'G2 MT Reading Scoresheet'!K84,"")</f>
        <v/>
      </c>
      <c r="L84" s="87" t="str">
        <f>IF('G2 MT Reading Scoresheet'!L84&lt;&gt;"",'G2 MT Reading Scoresheet'!L84,"")</f>
        <v/>
      </c>
      <c r="M84" s="118" t="str">
        <f>IF('G2 MT Reading Scoresheet'!M84&lt;&gt;"",'G2 MT Reading Scoresheet'!M84,"")</f>
        <v/>
      </c>
      <c r="N84" s="81" t="str">
        <f>IF('G2 MT Reading Scoresheet'!N84&lt;&gt;"",'G2 MT Reading Scoresheet'!N84,"")</f>
        <v/>
      </c>
      <c r="O84" s="81" t="str">
        <f>IF('G2 MT Reading Scoresheet'!O84&lt;&gt;"",'G2 MT Reading Scoresheet'!O84,"")</f>
        <v/>
      </c>
      <c r="P84" s="118" t="str">
        <f>IF('G2 MT Reading Scoresheet'!P84&lt;&gt;"",'G2 MT Reading Scoresheet'!P84,"")</f>
        <v/>
      </c>
      <c r="Q84" s="122" t="str">
        <f>IF('G2 MT Reading Scoresheet'!Q84&lt;&gt;"",'G2 MT Reading Scoresheet'!Q84,"")</f>
        <v/>
      </c>
      <c r="R84" s="81" t="str">
        <f>IF('G2 MT Reading Scoresheet'!R84&lt;&gt;"",'G2 MT Reading Scoresheet'!R84,"")</f>
        <v/>
      </c>
      <c r="S84" s="81" t="str">
        <f>IF('G2 MT Reading Scoresheet'!S84&lt;&gt;"",'G2 MT Reading Scoresheet'!S84,"")</f>
        <v/>
      </c>
      <c r="T84" s="82" t="str">
        <f>IF('G2 MT Reading Scoresheet'!T84&lt;&gt;"",'G2 MT Reading Scoresheet'!T84,"")</f>
        <v/>
      </c>
      <c r="U84" s="87" t="str">
        <f>IF('G2 MT Reading Scoresheet'!U84&lt;&gt;"",'G2 MT Reading Scoresheet'!U84,"")</f>
        <v/>
      </c>
      <c r="V84" s="271"/>
      <c r="Y84" s="221" t="str">
        <f t="shared" si="2"/>
        <v/>
      </c>
    </row>
    <row r="85" spans="1:25" ht="14.4" x14ac:dyDescent="0.3">
      <c r="A85" s="4">
        <f t="shared" si="1"/>
        <v>75</v>
      </c>
      <c r="B85" s="118" t="str">
        <f>IF('G2 MT Reading Scoresheet'!B85&lt;&gt;"",'G2 MT Reading Scoresheet'!B85,"")</f>
        <v/>
      </c>
      <c r="C85" s="133" t="str">
        <f>IF('G2 MT Reading Scoresheet'!C85&lt;&gt;"",'G2 MT Reading Scoresheet'!C85,"")</f>
        <v/>
      </c>
      <c r="D85" s="134" t="str">
        <f>IF('G2 MT Reading Scoresheet'!D85&lt;&gt;"",'G2 MT Reading Scoresheet'!D85,"")</f>
        <v/>
      </c>
      <c r="E85" s="135" t="str">
        <f>IF('G2 MT Reading Scoresheet'!E85&lt;&gt;"",'G2 MT Reading Scoresheet'!E85,"")</f>
        <v/>
      </c>
      <c r="F85" s="268" t="str">
        <f>IF('G2 MT Reading Scoresheet'!F85&lt;&gt;"",'G2 MT Reading Scoresheet'!F85,"")</f>
        <v/>
      </c>
      <c r="G85" s="262" t="str">
        <f>IF('G2 MT Reading Scoresheet'!G85&lt;&gt;"",'G2 MT Reading Scoresheet'!G85,"")</f>
        <v/>
      </c>
      <c r="H85" s="273" t="str">
        <f>IF('G2 MT Reading Scoresheet'!H85&lt;&gt;"",'G2 MT Reading Scoresheet'!H85,"")</f>
        <v/>
      </c>
      <c r="I85" s="81" t="str">
        <f>IF('G2 MT Reading Scoresheet'!I85&lt;&gt;"",'G2 MT Reading Scoresheet'!I85,"")</f>
        <v/>
      </c>
      <c r="J85" s="82" t="str">
        <f>IF('G2 MT Reading Scoresheet'!J85&lt;&gt;"",'G2 MT Reading Scoresheet'!J85,"")</f>
        <v/>
      </c>
      <c r="K85" s="274" t="str">
        <f>IF('G2 MT Reading Scoresheet'!K85&lt;&gt;"",'G2 MT Reading Scoresheet'!K85,"")</f>
        <v/>
      </c>
      <c r="L85" s="275" t="str">
        <f>IF('G2 MT Reading Scoresheet'!L85&lt;&gt;"",'G2 MT Reading Scoresheet'!L85,"")</f>
        <v/>
      </c>
      <c r="M85" s="118" t="str">
        <f>IF('G2 MT Reading Scoresheet'!M85&lt;&gt;"",'G2 MT Reading Scoresheet'!M85,"")</f>
        <v/>
      </c>
      <c r="N85" s="273" t="str">
        <f>IF('G2 MT Reading Scoresheet'!N85&lt;&gt;"",'G2 MT Reading Scoresheet'!N85,"")</f>
        <v/>
      </c>
      <c r="O85" s="273" t="str">
        <f>IF('G2 MT Reading Scoresheet'!O85&lt;&gt;"",'G2 MT Reading Scoresheet'!O85,"")</f>
        <v/>
      </c>
      <c r="P85" s="118" t="str">
        <f>IF('G2 MT Reading Scoresheet'!P85&lt;&gt;"",'G2 MT Reading Scoresheet'!P85,"")</f>
        <v/>
      </c>
      <c r="Q85" s="122" t="str">
        <f>IF('G2 MT Reading Scoresheet'!Q85&lt;&gt;"",'G2 MT Reading Scoresheet'!Q85,"")</f>
        <v/>
      </c>
      <c r="R85" s="273" t="str">
        <f>IF('G2 MT Reading Scoresheet'!R85&lt;&gt;"",'G2 MT Reading Scoresheet'!R85,"")</f>
        <v/>
      </c>
      <c r="S85" s="273" t="str">
        <f>IF('G2 MT Reading Scoresheet'!S85&lt;&gt;"",'G2 MT Reading Scoresheet'!S85,"")</f>
        <v/>
      </c>
      <c r="T85" s="276" t="str">
        <f>IF('G2 MT Reading Scoresheet'!T85&lt;&gt;"",'G2 MT Reading Scoresheet'!T85,"")</f>
        <v/>
      </c>
      <c r="U85" s="87" t="str">
        <f>IF('G2 MT Reading Scoresheet'!U85&lt;&gt;"",'G2 MT Reading Scoresheet'!U85,"")</f>
        <v/>
      </c>
      <c r="V85" s="277"/>
      <c r="Y85" s="221" t="str">
        <f t="shared" si="2"/>
        <v/>
      </c>
    </row>
    <row r="86" spans="1:25" ht="14.4" x14ac:dyDescent="0.3">
      <c r="A86" s="5">
        <f t="shared" si="1"/>
        <v>76</v>
      </c>
      <c r="B86" s="118" t="str">
        <f>IF('G2 MT Reading Scoresheet'!B86&lt;&gt;"",'G2 MT Reading Scoresheet'!B86,"")</f>
        <v/>
      </c>
      <c r="C86" s="133" t="str">
        <f>IF('G2 MT Reading Scoresheet'!C86&lt;&gt;"",'G2 MT Reading Scoresheet'!C86,"")</f>
        <v/>
      </c>
      <c r="D86" s="134" t="str">
        <f>IF('G2 MT Reading Scoresheet'!D86&lt;&gt;"",'G2 MT Reading Scoresheet'!D86,"")</f>
        <v/>
      </c>
      <c r="E86" s="135" t="str">
        <f>IF('G2 MT Reading Scoresheet'!E86&lt;&gt;"",'G2 MT Reading Scoresheet'!E86,"")</f>
        <v/>
      </c>
      <c r="F86" s="272" t="str">
        <f>IF('G2 MT Reading Scoresheet'!F86&lt;&gt;"",'G2 MT Reading Scoresheet'!F86,"")</f>
        <v/>
      </c>
      <c r="G86" s="269" t="str">
        <f>IF('G2 MT Reading Scoresheet'!G86&lt;&gt;"",'G2 MT Reading Scoresheet'!G86,"")</f>
        <v/>
      </c>
      <c r="H86" s="81" t="str">
        <f>IF('G2 MT Reading Scoresheet'!H86&lt;&gt;"",'G2 MT Reading Scoresheet'!H86,"")</f>
        <v/>
      </c>
      <c r="I86" s="81" t="str">
        <f>IF('G2 MT Reading Scoresheet'!I86&lt;&gt;"",'G2 MT Reading Scoresheet'!I86,"")</f>
        <v/>
      </c>
      <c r="J86" s="82" t="str">
        <f>IF('G2 MT Reading Scoresheet'!J86&lt;&gt;"",'G2 MT Reading Scoresheet'!J86,"")</f>
        <v/>
      </c>
      <c r="K86" s="270" t="str">
        <f>IF('G2 MT Reading Scoresheet'!K86&lt;&gt;"",'G2 MT Reading Scoresheet'!K86,"")</f>
        <v/>
      </c>
      <c r="L86" s="87" t="str">
        <f>IF('G2 MT Reading Scoresheet'!L86&lt;&gt;"",'G2 MT Reading Scoresheet'!L86,"")</f>
        <v/>
      </c>
      <c r="M86" s="118" t="str">
        <f>IF('G2 MT Reading Scoresheet'!M86&lt;&gt;"",'G2 MT Reading Scoresheet'!M86,"")</f>
        <v/>
      </c>
      <c r="N86" s="81" t="str">
        <f>IF('G2 MT Reading Scoresheet'!N86&lt;&gt;"",'G2 MT Reading Scoresheet'!N86,"")</f>
        <v/>
      </c>
      <c r="O86" s="81" t="str">
        <f>IF('G2 MT Reading Scoresheet'!O86&lt;&gt;"",'G2 MT Reading Scoresheet'!O86,"")</f>
        <v/>
      </c>
      <c r="P86" s="118" t="str">
        <f>IF('G2 MT Reading Scoresheet'!P86&lt;&gt;"",'G2 MT Reading Scoresheet'!P86,"")</f>
        <v/>
      </c>
      <c r="Q86" s="122" t="str">
        <f>IF('G2 MT Reading Scoresheet'!Q86&lt;&gt;"",'G2 MT Reading Scoresheet'!Q86,"")</f>
        <v/>
      </c>
      <c r="R86" s="81" t="str">
        <f>IF('G2 MT Reading Scoresheet'!R86&lt;&gt;"",'G2 MT Reading Scoresheet'!R86,"")</f>
        <v/>
      </c>
      <c r="S86" s="81" t="str">
        <f>IF('G2 MT Reading Scoresheet'!S86&lt;&gt;"",'G2 MT Reading Scoresheet'!S86,"")</f>
        <v/>
      </c>
      <c r="T86" s="82" t="str">
        <f>IF('G2 MT Reading Scoresheet'!T86&lt;&gt;"",'G2 MT Reading Scoresheet'!T86,"")</f>
        <v/>
      </c>
      <c r="U86" s="87" t="str">
        <f>IF('G2 MT Reading Scoresheet'!U86&lt;&gt;"",'G2 MT Reading Scoresheet'!U86,"")</f>
        <v/>
      </c>
      <c r="V86" s="271"/>
      <c r="Y86" s="221" t="str">
        <f t="shared" si="2"/>
        <v/>
      </c>
    </row>
    <row r="87" spans="1:25" ht="14.4" x14ac:dyDescent="0.3">
      <c r="A87" s="4">
        <f t="shared" si="1"/>
        <v>77</v>
      </c>
      <c r="B87" s="118" t="str">
        <f>IF('G2 MT Reading Scoresheet'!B87&lt;&gt;"",'G2 MT Reading Scoresheet'!B87,"")</f>
        <v/>
      </c>
      <c r="C87" s="133" t="str">
        <f>IF('G2 MT Reading Scoresheet'!C87&lt;&gt;"",'G2 MT Reading Scoresheet'!C87,"")</f>
        <v/>
      </c>
      <c r="D87" s="134" t="str">
        <f>IF('G2 MT Reading Scoresheet'!D87&lt;&gt;"",'G2 MT Reading Scoresheet'!D87,"")</f>
        <v/>
      </c>
      <c r="E87" s="135" t="str">
        <f>IF('G2 MT Reading Scoresheet'!E87&lt;&gt;"",'G2 MT Reading Scoresheet'!E87,"")</f>
        <v/>
      </c>
      <c r="F87" s="268" t="str">
        <f>IF('G2 MT Reading Scoresheet'!F87&lt;&gt;"",'G2 MT Reading Scoresheet'!F87,"")</f>
        <v/>
      </c>
      <c r="G87" s="262" t="str">
        <f>IF('G2 MT Reading Scoresheet'!G87&lt;&gt;"",'G2 MT Reading Scoresheet'!G87,"")</f>
        <v/>
      </c>
      <c r="H87" s="273" t="str">
        <f>IF('G2 MT Reading Scoresheet'!H87&lt;&gt;"",'G2 MT Reading Scoresheet'!H87,"")</f>
        <v/>
      </c>
      <c r="I87" s="81" t="str">
        <f>IF('G2 MT Reading Scoresheet'!I87&lt;&gt;"",'G2 MT Reading Scoresheet'!I87,"")</f>
        <v/>
      </c>
      <c r="J87" s="82" t="str">
        <f>IF('G2 MT Reading Scoresheet'!J87&lt;&gt;"",'G2 MT Reading Scoresheet'!J87,"")</f>
        <v/>
      </c>
      <c r="K87" s="274" t="str">
        <f>IF('G2 MT Reading Scoresheet'!K87&lt;&gt;"",'G2 MT Reading Scoresheet'!K87,"")</f>
        <v/>
      </c>
      <c r="L87" s="275" t="str">
        <f>IF('G2 MT Reading Scoresheet'!L87&lt;&gt;"",'G2 MT Reading Scoresheet'!L87,"")</f>
        <v/>
      </c>
      <c r="M87" s="118" t="str">
        <f>IF('G2 MT Reading Scoresheet'!M87&lt;&gt;"",'G2 MT Reading Scoresheet'!M87,"")</f>
        <v/>
      </c>
      <c r="N87" s="273" t="str">
        <f>IF('G2 MT Reading Scoresheet'!N87&lt;&gt;"",'G2 MT Reading Scoresheet'!N87,"")</f>
        <v/>
      </c>
      <c r="O87" s="273" t="str">
        <f>IF('G2 MT Reading Scoresheet'!O87&lt;&gt;"",'G2 MT Reading Scoresheet'!O87,"")</f>
        <v/>
      </c>
      <c r="P87" s="118" t="str">
        <f>IF('G2 MT Reading Scoresheet'!P87&lt;&gt;"",'G2 MT Reading Scoresheet'!P87,"")</f>
        <v/>
      </c>
      <c r="Q87" s="122" t="str">
        <f>IF('G2 MT Reading Scoresheet'!Q87&lt;&gt;"",'G2 MT Reading Scoresheet'!Q87,"")</f>
        <v/>
      </c>
      <c r="R87" s="273" t="str">
        <f>IF('G2 MT Reading Scoresheet'!R87&lt;&gt;"",'G2 MT Reading Scoresheet'!R87,"")</f>
        <v/>
      </c>
      <c r="S87" s="273" t="str">
        <f>IF('G2 MT Reading Scoresheet'!S87&lt;&gt;"",'G2 MT Reading Scoresheet'!S87,"")</f>
        <v/>
      </c>
      <c r="T87" s="276" t="str">
        <f>IF('G2 MT Reading Scoresheet'!T87&lt;&gt;"",'G2 MT Reading Scoresheet'!T87,"")</f>
        <v/>
      </c>
      <c r="U87" s="87" t="str">
        <f>IF('G2 MT Reading Scoresheet'!U87&lt;&gt;"",'G2 MT Reading Scoresheet'!U87,"")</f>
        <v/>
      </c>
      <c r="V87" s="277"/>
      <c r="Y87" s="221" t="str">
        <f t="shared" si="2"/>
        <v/>
      </c>
    </row>
    <row r="88" spans="1:25" ht="14.4" x14ac:dyDescent="0.3">
      <c r="A88" s="5">
        <f t="shared" si="1"/>
        <v>78</v>
      </c>
      <c r="B88" s="118" t="str">
        <f>IF('G2 MT Reading Scoresheet'!B88&lt;&gt;"",'G2 MT Reading Scoresheet'!B88,"")</f>
        <v/>
      </c>
      <c r="C88" s="133" t="str">
        <f>IF('G2 MT Reading Scoresheet'!C88&lt;&gt;"",'G2 MT Reading Scoresheet'!C88,"")</f>
        <v/>
      </c>
      <c r="D88" s="134" t="str">
        <f>IF('G2 MT Reading Scoresheet'!D88&lt;&gt;"",'G2 MT Reading Scoresheet'!D88,"")</f>
        <v/>
      </c>
      <c r="E88" s="135" t="str">
        <f>IF('G2 MT Reading Scoresheet'!E88&lt;&gt;"",'G2 MT Reading Scoresheet'!E88,"")</f>
        <v/>
      </c>
      <c r="F88" s="272" t="str">
        <f>IF('G2 MT Reading Scoresheet'!F88&lt;&gt;"",'G2 MT Reading Scoresheet'!F88,"")</f>
        <v/>
      </c>
      <c r="G88" s="269" t="str">
        <f>IF('G2 MT Reading Scoresheet'!G88&lt;&gt;"",'G2 MT Reading Scoresheet'!G88,"")</f>
        <v/>
      </c>
      <c r="H88" s="81" t="str">
        <f>IF('G2 MT Reading Scoresheet'!H88&lt;&gt;"",'G2 MT Reading Scoresheet'!H88,"")</f>
        <v/>
      </c>
      <c r="I88" s="81" t="str">
        <f>IF('G2 MT Reading Scoresheet'!I88&lt;&gt;"",'G2 MT Reading Scoresheet'!I88,"")</f>
        <v/>
      </c>
      <c r="J88" s="82" t="str">
        <f>IF('G2 MT Reading Scoresheet'!J88&lt;&gt;"",'G2 MT Reading Scoresheet'!J88,"")</f>
        <v/>
      </c>
      <c r="K88" s="270" t="str">
        <f>IF('G2 MT Reading Scoresheet'!K88&lt;&gt;"",'G2 MT Reading Scoresheet'!K88,"")</f>
        <v/>
      </c>
      <c r="L88" s="87" t="str">
        <f>IF('G2 MT Reading Scoresheet'!L88&lt;&gt;"",'G2 MT Reading Scoresheet'!L88,"")</f>
        <v/>
      </c>
      <c r="M88" s="118" t="str">
        <f>IF('G2 MT Reading Scoresheet'!M88&lt;&gt;"",'G2 MT Reading Scoresheet'!M88,"")</f>
        <v/>
      </c>
      <c r="N88" s="81" t="str">
        <f>IF('G2 MT Reading Scoresheet'!N88&lt;&gt;"",'G2 MT Reading Scoresheet'!N88,"")</f>
        <v/>
      </c>
      <c r="O88" s="81" t="str">
        <f>IF('G2 MT Reading Scoresheet'!O88&lt;&gt;"",'G2 MT Reading Scoresheet'!O88,"")</f>
        <v/>
      </c>
      <c r="P88" s="118" t="str">
        <f>IF('G2 MT Reading Scoresheet'!P88&lt;&gt;"",'G2 MT Reading Scoresheet'!P88,"")</f>
        <v/>
      </c>
      <c r="Q88" s="122" t="str">
        <f>IF('G2 MT Reading Scoresheet'!Q88&lt;&gt;"",'G2 MT Reading Scoresheet'!Q88,"")</f>
        <v/>
      </c>
      <c r="R88" s="81" t="str">
        <f>IF('G2 MT Reading Scoresheet'!R88&lt;&gt;"",'G2 MT Reading Scoresheet'!R88,"")</f>
        <v/>
      </c>
      <c r="S88" s="81" t="str">
        <f>IF('G2 MT Reading Scoresheet'!S88&lt;&gt;"",'G2 MT Reading Scoresheet'!S88,"")</f>
        <v/>
      </c>
      <c r="T88" s="82" t="str">
        <f>IF('G2 MT Reading Scoresheet'!T88&lt;&gt;"",'G2 MT Reading Scoresheet'!T88,"")</f>
        <v/>
      </c>
      <c r="U88" s="87" t="str">
        <f>IF('G2 MT Reading Scoresheet'!U88&lt;&gt;"",'G2 MT Reading Scoresheet'!U88,"")</f>
        <v/>
      </c>
      <c r="V88" s="271"/>
      <c r="Y88" s="221" t="str">
        <f t="shared" si="2"/>
        <v/>
      </c>
    </row>
    <row r="89" spans="1:25" ht="14.4" x14ac:dyDescent="0.3">
      <c r="A89" s="4">
        <f t="shared" si="1"/>
        <v>79</v>
      </c>
      <c r="B89" s="118" t="str">
        <f>IF('G2 MT Reading Scoresheet'!B89&lt;&gt;"",'G2 MT Reading Scoresheet'!B89,"")</f>
        <v/>
      </c>
      <c r="C89" s="133" t="str">
        <f>IF('G2 MT Reading Scoresheet'!C89&lt;&gt;"",'G2 MT Reading Scoresheet'!C89,"")</f>
        <v/>
      </c>
      <c r="D89" s="134" t="str">
        <f>IF('G2 MT Reading Scoresheet'!D89&lt;&gt;"",'G2 MT Reading Scoresheet'!D89,"")</f>
        <v/>
      </c>
      <c r="E89" s="135" t="str">
        <f>IF('G2 MT Reading Scoresheet'!E89&lt;&gt;"",'G2 MT Reading Scoresheet'!E89,"")</f>
        <v/>
      </c>
      <c r="F89" s="268" t="str">
        <f>IF('G2 MT Reading Scoresheet'!F89&lt;&gt;"",'G2 MT Reading Scoresheet'!F89,"")</f>
        <v/>
      </c>
      <c r="G89" s="262" t="str">
        <f>IF('G2 MT Reading Scoresheet'!G89&lt;&gt;"",'G2 MT Reading Scoresheet'!G89,"")</f>
        <v/>
      </c>
      <c r="H89" s="273" t="str">
        <f>IF('G2 MT Reading Scoresheet'!H89&lt;&gt;"",'G2 MT Reading Scoresheet'!H89,"")</f>
        <v/>
      </c>
      <c r="I89" s="81" t="str">
        <f>IF('G2 MT Reading Scoresheet'!I89&lt;&gt;"",'G2 MT Reading Scoresheet'!I89,"")</f>
        <v/>
      </c>
      <c r="J89" s="82" t="str">
        <f>IF('G2 MT Reading Scoresheet'!J89&lt;&gt;"",'G2 MT Reading Scoresheet'!J89,"")</f>
        <v/>
      </c>
      <c r="K89" s="274" t="str">
        <f>IF('G2 MT Reading Scoresheet'!K89&lt;&gt;"",'G2 MT Reading Scoresheet'!K89,"")</f>
        <v/>
      </c>
      <c r="L89" s="275" t="str">
        <f>IF('G2 MT Reading Scoresheet'!L89&lt;&gt;"",'G2 MT Reading Scoresheet'!L89,"")</f>
        <v/>
      </c>
      <c r="M89" s="118" t="str">
        <f>IF('G2 MT Reading Scoresheet'!M89&lt;&gt;"",'G2 MT Reading Scoresheet'!M89,"")</f>
        <v/>
      </c>
      <c r="N89" s="273" t="str">
        <f>IF('G2 MT Reading Scoresheet'!N89&lt;&gt;"",'G2 MT Reading Scoresheet'!N89,"")</f>
        <v/>
      </c>
      <c r="O89" s="273" t="str">
        <f>IF('G2 MT Reading Scoresheet'!O89&lt;&gt;"",'G2 MT Reading Scoresheet'!O89,"")</f>
        <v/>
      </c>
      <c r="P89" s="118" t="str">
        <f>IF('G2 MT Reading Scoresheet'!P89&lt;&gt;"",'G2 MT Reading Scoresheet'!P89,"")</f>
        <v/>
      </c>
      <c r="Q89" s="122" t="str">
        <f>IF('G2 MT Reading Scoresheet'!Q89&lt;&gt;"",'G2 MT Reading Scoresheet'!Q89,"")</f>
        <v/>
      </c>
      <c r="R89" s="273" t="str">
        <f>IF('G2 MT Reading Scoresheet'!R89&lt;&gt;"",'G2 MT Reading Scoresheet'!R89,"")</f>
        <v/>
      </c>
      <c r="S89" s="273" t="str">
        <f>IF('G2 MT Reading Scoresheet'!S89&lt;&gt;"",'G2 MT Reading Scoresheet'!S89,"")</f>
        <v/>
      </c>
      <c r="T89" s="276" t="str">
        <f>IF('G2 MT Reading Scoresheet'!T89&lt;&gt;"",'G2 MT Reading Scoresheet'!T89,"")</f>
        <v/>
      </c>
      <c r="U89" s="87" t="str">
        <f>IF('G2 MT Reading Scoresheet'!U89&lt;&gt;"",'G2 MT Reading Scoresheet'!U89,"")</f>
        <v/>
      </c>
      <c r="V89" s="277"/>
      <c r="Y89" s="221" t="str">
        <f t="shared" si="2"/>
        <v/>
      </c>
    </row>
    <row r="90" spans="1:25" ht="14.4" x14ac:dyDescent="0.3">
      <c r="A90" s="5">
        <f t="shared" si="1"/>
        <v>80</v>
      </c>
      <c r="B90" s="118" t="str">
        <f>IF('G2 MT Reading Scoresheet'!B90&lt;&gt;"",'G2 MT Reading Scoresheet'!B90,"")</f>
        <v/>
      </c>
      <c r="C90" s="133" t="str">
        <f>IF('G2 MT Reading Scoresheet'!C90&lt;&gt;"",'G2 MT Reading Scoresheet'!C90,"")</f>
        <v/>
      </c>
      <c r="D90" s="134" t="str">
        <f>IF('G2 MT Reading Scoresheet'!D90&lt;&gt;"",'G2 MT Reading Scoresheet'!D90,"")</f>
        <v/>
      </c>
      <c r="E90" s="135" t="str">
        <f>IF('G2 MT Reading Scoresheet'!E90&lt;&gt;"",'G2 MT Reading Scoresheet'!E90,"")</f>
        <v/>
      </c>
      <c r="F90" s="272" t="str">
        <f>IF('G2 MT Reading Scoresheet'!F90&lt;&gt;"",'G2 MT Reading Scoresheet'!F90,"")</f>
        <v/>
      </c>
      <c r="G90" s="269" t="str">
        <f>IF('G2 MT Reading Scoresheet'!G90&lt;&gt;"",'G2 MT Reading Scoresheet'!G90,"")</f>
        <v/>
      </c>
      <c r="H90" s="81" t="str">
        <f>IF('G2 MT Reading Scoresheet'!H90&lt;&gt;"",'G2 MT Reading Scoresheet'!H90,"")</f>
        <v/>
      </c>
      <c r="I90" s="81" t="str">
        <f>IF('G2 MT Reading Scoresheet'!I90&lt;&gt;"",'G2 MT Reading Scoresheet'!I90,"")</f>
        <v/>
      </c>
      <c r="J90" s="82" t="str">
        <f>IF('G2 MT Reading Scoresheet'!J90&lt;&gt;"",'G2 MT Reading Scoresheet'!J90,"")</f>
        <v/>
      </c>
      <c r="K90" s="270" t="str">
        <f>IF('G2 MT Reading Scoresheet'!K90&lt;&gt;"",'G2 MT Reading Scoresheet'!K90,"")</f>
        <v/>
      </c>
      <c r="L90" s="87" t="str">
        <f>IF('G2 MT Reading Scoresheet'!L90&lt;&gt;"",'G2 MT Reading Scoresheet'!L90,"")</f>
        <v/>
      </c>
      <c r="M90" s="118" t="str">
        <f>IF('G2 MT Reading Scoresheet'!M90&lt;&gt;"",'G2 MT Reading Scoresheet'!M90,"")</f>
        <v/>
      </c>
      <c r="N90" s="81" t="str">
        <f>IF('G2 MT Reading Scoresheet'!N90&lt;&gt;"",'G2 MT Reading Scoresheet'!N90,"")</f>
        <v/>
      </c>
      <c r="O90" s="81" t="str">
        <f>IF('G2 MT Reading Scoresheet'!O90&lt;&gt;"",'G2 MT Reading Scoresheet'!O90,"")</f>
        <v/>
      </c>
      <c r="P90" s="118" t="str">
        <f>IF('G2 MT Reading Scoresheet'!P90&lt;&gt;"",'G2 MT Reading Scoresheet'!P90,"")</f>
        <v/>
      </c>
      <c r="Q90" s="122" t="str">
        <f>IF('G2 MT Reading Scoresheet'!Q90&lt;&gt;"",'G2 MT Reading Scoresheet'!Q90,"")</f>
        <v/>
      </c>
      <c r="R90" s="81" t="str">
        <f>IF('G2 MT Reading Scoresheet'!R90&lt;&gt;"",'G2 MT Reading Scoresheet'!R90,"")</f>
        <v/>
      </c>
      <c r="S90" s="81" t="str">
        <f>IF('G2 MT Reading Scoresheet'!S90&lt;&gt;"",'G2 MT Reading Scoresheet'!S90,"")</f>
        <v/>
      </c>
      <c r="T90" s="82" t="str">
        <f>IF('G2 MT Reading Scoresheet'!T90&lt;&gt;"",'G2 MT Reading Scoresheet'!T90,"")</f>
        <v/>
      </c>
      <c r="U90" s="87" t="str">
        <f>IF('G2 MT Reading Scoresheet'!U90&lt;&gt;"",'G2 MT Reading Scoresheet'!U90,"")</f>
        <v/>
      </c>
      <c r="V90" s="271"/>
      <c r="Y90" s="221" t="str">
        <f t="shared" si="2"/>
        <v/>
      </c>
    </row>
    <row r="91" spans="1:25" ht="14.4" x14ac:dyDescent="0.3">
      <c r="A91" s="4">
        <f t="shared" si="1"/>
        <v>81</v>
      </c>
      <c r="B91" s="118" t="str">
        <f>IF('G2 MT Reading Scoresheet'!B91&lt;&gt;"",'G2 MT Reading Scoresheet'!B91,"")</f>
        <v/>
      </c>
      <c r="C91" s="133" t="str">
        <f>IF('G2 MT Reading Scoresheet'!C91&lt;&gt;"",'G2 MT Reading Scoresheet'!C91,"")</f>
        <v/>
      </c>
      <c r="D91" s="134" t="str">
        <f>IF('G2 MT Reading Scoresheet'!D91&lt;&gt;"",'G2 MT Reading Scoresheet'!D91,"")</f>
        <v/>
      </c>
      <c r="E91" s="135" t="str">
        <f>IF('G2 MT Reading Scoresheet'!E91&lt;&gt;"",'G2 MT Reading Scoresheet'!E91,"")</f>
        <v/>
      </c>
      <c r="F91" s="268" t="str">
        <f>IF('G2 MT Reading Scoresheet'!F91&lt;&gt;"",'G2 MT Reading Scoresheet'!F91,"")</f>
        <v/>
      </c>
      <c r="G91" s="262" t="str">
        <f>IF('G2 MT Reading Scoresheet'!G91&lt;&gt;"",'G2 MT Reading Scoresheet'!G91,"")</f>
        <v/>
      </c>
      <c r="H91" s="273" t="str">
        <f>IF('G2 MT Reading Scoresheet'!H91&lt;&gt;"",'G2 MT Reading Scoresheet'!H91,"")</f>
        <v/>
      </c>
      <c r="I91" s="81" t="str">
        <f>IF('G2 MT Reading Scoresheet'!I91&lt;&gt;"",'G2 MT Reading Scoresheet'!I91,"")</f>
        <v/>
      </c>
      <c r="J91" s="82" t="str">
        <f>IF('G2 MT Reading Scoresheet'!J91&lt;&gt;"",'G2 MT Reading Scoresheet'!J91,"")</f>
        <v/>
      </c>
      <c r="K91" s="274" t="str">
        <f>IF('G2 MT Reading Scoresheet'!K91&lt;&gt;"",'G2 MT Reading Scoresheet'!K91,"")</f>
        <v/>
      </c>
      <c r="L91" s="275" t="str">
        <f>IF('G2 MT Reading Scoresheet'!L91&lt;&gt;"",'G2 MT Reading Scoresheet'!L91,"")</f>
        <v/>
      </c>
      <c r="M91" s="118" t="str">
        <f>IF('G2 MT Reading Scoresheet'!M91&lt;&gt;"",'G2 MT Reading Scoresheet'!M91,"")</f>
        <v/>
      </c>
      <c r="N91" s="273" t="str">
        <f>IF('G2 MT Reading Scoresheet'!N91&lt;&gt;"",'G2 MT Reading Scoresheet'!N91,"")</f>
        <v/>
      </c>
      <c r="O91" s="273" t="str">
        <f>IF('G2 MT Reading Scoresheet'!O91&lt;&gt;"",'G2 MT Reading Scoresheet'!O91,"")</f>
        <v/>
      </c>
      <c r="P91" s="118" t="str">
        <f>IF('G2 MT Reading Scoresheet'!P91&lt;&gt;"",'G2 MT Reading Scoresheet'!P91,"")</f>
        <v/>
      </c>
      <c r="Q91" s="122" t="str">
        <f>IF('G2 MT Reading Scoresheet'!Q91&lt;&gt;"",'G2 MT Reading Scoresheet'!Q91,"")</f>
        <v/>
      </c>
      <c r="R91" s="273" t="str">
        <f>IF('G2 MT Reading Scoresheet'!R91&lt;&gt;"",'G2 MT Reading Scoresheet'!R91,"")</f>
        <v/>
      </c>
      <c r="S91" s="273" t="str">
        <f>IF('G2 MT Reading Scoresheet'!S91&lt;&gt;"",'G2 MT Reading Scoresheet'!S91,"")</f>
        <v/>
      </c>
      <c r="T91" s="276" t="str">
        <f>IF('G2 MT Reading Scoresheet'!T91&lt;&gt;"",'G2 MT Reading Scoresheet'!T91,"")</f>
        <v/>
      </c>
      <c r="U91" s="87" t="str">
        <f>IF('G2 MT Reading Scoresheet'!U91&lt;&gt;"",'G2 MT Reading Scoresheet'!U91,"")</f>
        <v/>
      </c>
      <c r="V91" s="277"/>
      <c r="Y91" s="221" t="str">
        <f t="shared" si="2"/>
        <v/>
      </c>
    </row>
    <row r="92" spans="1:25" ht="14.4" x14ac:dyDescent="0.3">
      <c r="A92" s="5">
        <f t="shared" si="1"/>
        <v>82</v>
      </c>
      <c r="B92" s="118" t="str">
        <f>IF('G2 MT Reading Scoresheet'!B92&lt;&gt;"",'G2 MT Reading Scoresheet'!B92,"")</f>
        <v/>
      </c>
      <c r="C92" s="133" t="str">
        <f>IF('G2 MT Reading Scoresheet'!C92&lt;&gt;"",'G2 MT Reading Scoresheet'!C92,"")</f>
        <v/>
      </c>
      <c r="D92" s="134" t="str">
        <f>IF('G2 MT Reading Scoresheet'!D92&lt;&gt;"",'G2 MT Reading Scoresheet'!D92,"")</f>
        <v/>
      </c>
      <c r="E92" s="135" t="str">
        <f>IF('G2 MT Reading Scoresheet'!E92&lt;&gt;"",'G2 MT Reading Scoresheet'!E92,"")</f>
        <v/>
      </c>
      <c r="F92" s="272" t="str">
        <f>IF('G2 MT Reading Scoresheet'!F92&lt;&gt;"",'G2 MT Reading Scoresheet'!F92,"")</f>
        <v/>
      </c>
      <c r="G92" s="269" t="str">
        <f>IF('G2 MT Reading Scoresheet'!G92&lt;&gt;"",'G2 MT Reading Scoresheet'!G92,"")</f>
        <v/>
      </c>
      <c r="H92" s="81" t="str">
        <f>IF('G2 MT Reading Scoresheet'!H92&lt;&gt;"",'G2 MT Reading Scoresheet'!H92,"")</f>
        <v/>
      </c>
      <c r="I92" s="81" t="str">
        <f>IF('G2 MT Reading Scoresheet'!I92&lt;&gt;"",'G2 MT Reading Scoresheet'!I92,"")</f>
        <v/>
      </c>
      <c r="J92" s="82" t="str">
        <f>IF('G2 MT Reading Scoresheet'!J92&lt;&gt;"",'G2 MT Reading Scoresheet'!J92,"")</f>
        <v/>
      </c>
      <c r="K92" s="270" t="str">
        <f>IF('G2 MT Reading Scoresheet'!K92&lt;&gt;"",'G2 MT Reading Scoresheet'!K92,"")</f>
        <v/>
      </c>
      <c r="L92" s="87" t="str">
        <f>IF('G2 MT Reading Scoresheet'!L92&lt;&gt;"",'G2 MT Reading Scoresheet'!L92,"")</f>
        <v/>
      </c>
      <c r="M92" s="118" t="str">
        <f>IF('G2 MT Reading Scoresheet'!M92&lt;&gt;"",'G2 MT Reading Scoresheet'!M92,"")</f>
        <v/>
      </c>
      <c r="N92" s="81" t="str">
        <f>IF('G2 MT Reading Scoresheet'!N92&lt;&gt;"",'G2 MT Reading Scoresheet'!N92,"")</f>
        <v/>
      </c>
      <c r="O92" s="81" t="str">
        <f>IF('G2 MT Reading Scoresheet'!O92&lt;&gt;"",'G2 MT Reading Scoresheet'!O92,"")</f>
        <v/>
      </c>
      <c r="P92" s="118" t="str">
        <f>IF('G2 MT Reading Scoresheet'!P92&lt;&gt;"",'G2 MT Reading Scoresheet'!P92,"")</f>
        <v/>
      </c>
      <c r="Q92" s="122" t="str">
        <f>IF('G2 MT Reading Scoresheet'!Q92&lt;&gt;"",'G2 MT Reading Scoresheet'!Q92,"")</f>
        <v/>
      </c>
      <c r="R92" s="81" t="str">
        <f>IF('G2 MT Reading Scoresheet'!R92&lt;&gt;"",'G2 MT Reading Scoresheet'!R92,"")</f>
        <v/>
      </c>
      <c r="S92" s="81" t="str">
        <f>IF('G2 MT Reading Scoresheet'!S92&lt;&gt;"",'G2 MT Reading Scoresheet'!S92,"")</f>
        <v/>
      </c>
      <c r="T92" s="82" t="str">
        <f>IF('G2 MT Reading Scoresheet'!T92&lt;&gt;"",'G2 MT Reading Scoresheet'!T92,"")</f>
        <v/>
      </c>
      <c r="U92" s="87" t="str">
        <f>IF('G2 MT Reading Scoresheet'!U92&lt;&gt;"",'G2 MT Reading Scoresheet'!U92,"")</f>
        <v/>
      </c>
      <c r="V92" s="271"/>
      <c r="Y92" s="221" t="str">
        <f t="shared" si="2"/>
        <v/>
      </c>
    </row>
    <row r="93" spans="1:25" ht="14.4" x14ac:dyDescent="0.3">
      <c r="A93" s="4">
        <f t="shared" si="1"/>
        <v>83</v>
      </c>
      <c r="B93" s="118" t="str">
        <f>IF('G2 MT Reading Scoresheet'!B93&lt;&gt;"",'G2 MT Reading Scoresheet'!B93,"")</f>
        <v/>
      </c>
      <c r="C93" s="133" t="str">
        <f>IF('G2 MT Reading Scoresheet'!C93&lt;&gt;"",'G2 MT Reading Scoresheet'!C93,"")</f>
        <v/>
      </c>
      <c r="D93" s="134" t="str">
        <f>IF('G2 MT Reading Scoresheet'!D93&lt;&gt;"",'G2 MT Reading Scoresheet'!D93,"")</f>
        <v/>
      </c>
      <c r="E93" s="135" t="str">
        <f>IF('G2 MT Reading Scoresheet'!E93&lt;&gt;"",'G2 MT Reading Scoresheet'!E93,"")</f>
        <v/>
      </c>
      <c r="F93" s="268" t="str">
        <f>IF('G2 MT Reading Scoresheet'!F93&lt;&gt;"",'G2 MT Reading Scoresheet'!F93,"")</f>
        <v/>
      </c>
      <c r="G93" s="262" t="str">
        <f>IF('G2 MT Reading Scoresheet'!G93&lt;&gt;"",'G2 MT Reading Scoresheet'!G93,"")</f>
        <v/>
      </c>
      <c r="H93" s="273" t="str">
        <f>IF('G2 MT Reading Scoresheet'!H93&lt;&gt;"",'G2 MT Reading Scoresheet'!H93,"")</f>
        <v/>
      </c>
      <c r="I93" s="81" t="str">
        <f>IF('G2 MT Reading Scoresheet'!I93&lt;&gt;"",'G2 MT Reading Scoresheet'!I93,"")</f>
        <v/>
      </c>
      <c r="J93" s="82" t="str">
        <f>IF('G2 MT Reading Scoresheet'!J93&lt;&gt;"",'G2 MT Reading Scoresheet'!J93,"")</f>
        <v/>
      </c>
      <c r="K93" s="274" t="str">
        <f>IF('G2 MT Reading Scoresheet'!K93&lt;&gt;"",'G2 MT Reading Scoresheet'!K93,"")</f>
        <v/>
      </c>
      <c r="L93" s="275" t="str">
        <f>IF('G2 MT Reading Scoresheet'!L93&lt;&gt;"",'G2 MT Reading Scoresheet'!L93,"")</f>
        <v/>
      </c>
      <c r="M93" s="118" t="str">
        <f>IF('G2 MT Reading Scoresheet'!M93&lt;&gt;"",'G2 MT Reading Scoresheet'!M93,"")</f>
        <v/>
      </c>
      <c r="N93" s="273" t="str">
        <f>IF('G2 MT Reading Scoresheet'!N93&lt;&gt;"",'G2 MT Reading Scoresheet'!N93,"")</f>
        <v/>
      </c>
      <c r="O93" s="273" t="str">
        <f>IF('G2 MT Reading Scoresheet'!O93&lt;&gt;"",'G2 MT Reading Scoresheet'!O93,"")</f>
        <v/>
      </c>
      <c r="P93" s="118" t="str">
        <f>IF('G2 MT Reading Scoresheet'!P93&lt;&gt;"",'G2 MT Reading Scoresheet'!P93,"")</f>
        <v/>
      </c>
      <c r="Q93" s="122" t="str">
        <f>IF('G2 MT Reading Scoresheet'!Q93&lt;&gt;"",'G2 MT Reading Scoresheet'!Q93,"")</f>
        <v/>
      </c>
      <c r="R93" s="273" t="str">
        <f>IF('G2 MT Reading Scoresheet'!R93&lt;&gt;"",'G2 MT Reading Scoresheet'!R93,"")</f>
        <v/>
      </c>
      <c r="S93" s="273" t="str">
        <f>IF('G2 MT Reading Scoresheet'!S93&lt;&gt;"",'G2 MT Reading Scoresheet'!S93,"")</f>
        <v/>
      </c>
      <c r="T93" s="276" t="str">
        <f>IF('G2 MT Reading Scoresheet'!T93&lt;&gt;"",'G2 MT Reading Scoresheet'!T93,"")</f>
        <v/>
      </c>
      <c r="U93" s="87" t="str">
        <f>IF('G2 MT Reading Scoresheet'!U93&lt;&gt;"",'G2 MT Reading Scoresheet'!U93,"")</f>
        <v/>
      </c>
      <c r="V93" s="277"/>
      <c r="Y93" s="221" t="str">
        <f t="shared" si="2"/>
        <v/>
      </c>
    </row>
    <row r="94" spans="1:25" ht="14.4" x14ac:dyDescent="0.3">
      <c r="A94" s="5">
        <f t="shared" si="1"/>
        <v>84</v>
      </c>
      <c r="B94" s="118" t="str">
        <f>IF('G2 MT Reading Scoresheet'!B94&lt;&gt;"",'G2 MT Reading Scoresheet'!B94,"")</f>
        <v/>
      </c>
      <c r="C94" s="133" t="str">
        <f>IF('G2 MT Reading Scoresheet'!C94&lt;&gt;"",'G2 MT Reading Scoresheet'!C94,"")</f>
        <v/>
      </c>
      <c r="D94" s="134" t="str">
        <f>IF('G2 MT Reading Scoresheet'!D94&lt;&gt;"",'G2 MT Reading Scoresheet'!D94,"")</f>
        <v/>
      </c>
      <c r="E94" s="135" t="str">
        <f>IF('G2 MT Reading Scoresheet'!E94&lt;&gt;"",'G2 MT Reading Scoresheet'!E94,"")</f>
        <v/>
      </c>
      <c r="F94" s="272" t="str">
        <f>IF('G2 MT Reading Scoresheet'!F94&lt;&gt;"",'G2 MT Reading Scoresheet'!F94,"")</f>
        <v/>
      </c>
      <c r="G94" s="269" t="str">
        <f>IF('G2 MT Reading Scoresheet'!G94&lt;&gt;"",'G2 MT Reading Scoresheet'!G94,"")</f>
        <v/>
      </c>
      <c r="H94" s="81" t="str">
        <f>IF('G2 MT Reading Scoresheet'!H94&lt;&gt;"",'G2 MT Reading Scoresheet'!H94,"")</f>
        <v/>
      </c>
      <c r="I94" s="81" t="str">
        <f>IF('G2 MT Reading Scoresheet'!I94&lt;&gt;"",'G2 MT Reading Scoresheet'!I94,"")</f>
        <v/>
      </c>
      <c r="J94" s="82" t="str">
        <f>IF('G2 MT Reading Scoresheet'!J94&lt;&gt;"",'G2 MT Reading Scoresheet'!J94,"")</f>
        <v/>
      </c>
      <c r="K94" s="270" t="str">
        <f>IF('G2 MT Reading Scoresheet'!K94&lt;&gt;"",'G2 MT Reading Scoresheet'!K94,"")</f>
        <v/>
      </c>
      <c r="L94" s="87" t="str">
        <f>IF('G2 MT Reading Scoresheet'!L94&lt;&gt;"",'G2 MT Reading Scoresheet'!L94,"")</f>
        <v/>
      </c>
      <c r="M94" s="118" t="str">
        <f>IF('G2 MT Reading Scoresheet'!M94&lt;&gt;"",'G2 MT Reading Scoresheet'!M94,"")</f>
        <v/>
      </c>
      <c r="N94" s="81" t="str">
        <f>IF('G2 MT Reading Scoresheet'!N94&lt;&gt;"",'G2 MT Reading Scoresheet'!N94,"")</f>
        <v/>
      </c>
      <c r="O94" s="81" t="str">
        <f>IF('G2 MT Reading Scoresheet'!O94&lt;&gt;"",'G2 MT Reading Scoresheet'!O94,"")</f>
        <v/>
      </c>
      <c r="P94" s="118" t="str">
        <f>IF('G2 MT Reading Scoresheet'!P94&lt;&gt;"",'G2 MT Reading Scoresheet'!P94,"")</f>
        <v/>
      </c>
      <c r="Q94" s="122" t="str">
        <f>IF('G2 MT Reading Scoresheet'!Q94&lt;&gt;"",'G2 MT Reading Scoresheet'!Q94,"")</f>
        <v/>
      </c>
      <c r="R94" s="81" t="str">
        <f>IF('G2 MT Reading Scoresheet'!R94&lt;&gt;"",'G2 MT Reading Scoresheet'!R94,"")</f>
        <v/>
      </c>
      <c r="S94" s="81" t="str">
        <f>IF('G2 MT Reading Scoresheet'!S94&lt;&gt;"",'G2 MT Reading Scoresheet'!S94,"")</f>
        <v/>
      </c>
      <c r="T94" s="82" t="str">
        <f>IF('G2 MT Reading Scoresheet'!T94&lt;&gt;"",'G2 MT Reading Scoresheet'!T94,"")</f>
        <v/>
      </c>
      <c r="U94" s="87" t="str">
        <f>IF('G2 MT Reading Scoresheet'!U94&lt;&gt;"",'G2 MT Reading Scoresheet'!U94,"")</f>
        <v/>
      </c>
      <c r="V94" s="271"/>
      <c r="Y94" s="221" t="str">
        <f t="shared" si="2"/>
        <v/>
      </c>
    </row>
    <row r="95" spans="1:25" ht="14.4" x14ac:dyDescent="0.3">
      <c r="A95" s="4">
        <f t="shared" si="1"/>
        <v>85</v>
      </c>
      <c r="B95" s="118" t="str">
        <f>IF('G2 MT Reading Scoresheet'!B95&lt;&gt;"",'G2 MT Reading Scoresheet'!B95,"")</f>
        <v/>
      </c>
      <c r="C95" s="133" t="str">
        <f>IF('G2 MT Reading Scoresheet'!C95&lt;&gt;"",'G2 MT Reading Scoresheet'!C95,"")</f>
        <v/>
      </c>
      <c r="D95" s="134" t="str">
        <f>IF('G2 MT Reading Scoresheet'!D95&lt;&gt;"",'G2 MT Reading Scoresheet'!D95,"")</f>
        <v/>
      </c>
      <c r="E95" s="135" t="str">
        <f>IF('G2 MT Reading Scoresheet'!E95&lt;&gt;"",'G2 MT Reading Scoresheet'!E95,"")</f>
        <v/>
      </c>
      <c r="F95" s="268" t="str">
        <f>IF('G2 MT Reading Scoresheet'!F95&lt;&gt;"",'G2 MT Reading Scoresheet'!F95,"")</f>
        <v/>
      </c>
      <c r="G95" s="262" t="str">
        <f>IF('G2 MT Reading Scoresheet'!G95&lt;&gt;"",'G2 MT Reading Scoresheet'!G95,"")</f>
        <v/>
      </c>
      <c r="H95" s="273" t="str">
        <f>IF('G2 MT Reading Scoresheet'!H95&lt;&gt;"",'G2 MT Reading Scoresheet'!H95,"")</f>
        <v/>
      </c>
      <c r="I95" s="81" t="str">
        <f>IF('G2 MT Reading Scoresheet'!I95&lt;&gt;"",'G2 MT Reading Scoresheet'!I95,"")</f>
        <v/>
      </c>
      <c r="J95" s="82" t="str">
        <f>IF('G2 MT Reading Scoresheet'!J95&lt;&gt;"",'G2 MT Reading Scoresheet'!J95,"")</f>
        <v/>
      </c>
      <c r="K95" s="274" t="str">
        <f>IF('G2 MT Reading Scoresheet'!K95&lt;&gt;"",'G2 MT Reading Scoresheet'!K95,"")</f>
        <v/>
      </c>
      <c r="L95" s="275" t="str">
        <f>IF('G2 MT Reading Scoresheet'!L95&lt;&gt;"",'G2 MT Reading Scoresheet'!L95,"")</f>
        <v/>
      </c>
      <c r="M95" s="118" t="str">
        <f>IF('G2 MT Reading Scoresheet'!M95&lt;&gt;"",'G2 MT Reading Scoresheet'!M95,"")</f>
        <v/>
      </c>
      <c r="N95" s="273" t="str">
        <f>IF('G2 MT Reading Scoresheet'!N95&lt;&gt;"",'G2 MT Reading Scoresheet'!N95,"")</f>
        <v/>
      </c>
      <c r="O95" s="273" t="str">
        <f>IF('G2 MT Reading Scoresheet'!O95&lt;&gt;"",'G2 MT Reading Scoresheet'!O95,"")</f>
        <v/>
      </c>
      <c r="P95" s="118" t="str">
        <f>IF('G2 MT Reading Scoresheet'!P95&lt;&gt;"",'G2 MT Reading Scoresheet'!P95,"")</f>
        <v/>
      </c>
      <c r="Q95" s="122" t="str">
        <f>IF('G2 MT Reading Scoresheet'!Q95&lt;&gt;"",'G2 MT Reading Scoresheet'!Q95,"")</f>
        <v/>
      </c>
      <c r="R95" s="273" t="str">
        <f>IF('G2 MT Reading Scoresheet'!R95&lt;&gt;"",'G2 MT Reading Scoresheet'!R95,"")</f>
        <v/>
      </c>
      <c r="S95" s="273" t="str">
        <f>IF('G2 MT Reading Scoresheet'!S95&lt;&gt;"",'G2 MT Reading Scoresheet'!S95,"")</f>
        <v/>
      </c>
      <c r="T95" s="276" t="str">
        <f>IF('G2 MT Reading Scoresheet'!T95&lt;&gt;"",'G2 MT Reading Scoresheet'!T95,"")</f>
        <v/>
      </c>
      <c r="U95" s="87" t="str">
        <f>IF('G2 MT Reading Scoresheet'!U95&lt;&gt;"",'G2 MT Reading Scoresheet'!U95,"")</f>
        <v/>
      </c>
      <c r="V95" s="277"/>
      <c r="Y95" s="221" t="str">
        <f t="shared" si="2"/>
        <v/>
      </c>
    </row>
    <row r="96" spans="1:25" ht="14.4" x14ac:dyDescent="0.3">
      <c r="A96" s="5">
        <f t="shared" si="1"/>
        <v>86</v>
      </c>
      <c r="B96" s="118" t="str">
        <f>IF('G2 MT Reading Scoresheet'!B96&lt;&gt;"",'G2 MT Reading Scoresheet'!B96,"")</f>
        <v/>
      </c>
      <c r="C96" s="133" t="str">
        <f>IF('G2 MT Reading Scoresheet'!C96&lt;&gt;"",'G2 MT Reading Scoresheet'!C96,"")</f>
        <v/>
      </c>
      <c r="D96" s="134" t="str">
        <f>IF('G2 MT Reading Scoresheet'!D96&lt;&gt;"",'G2 MT Reading Scoresheet'!D96,"")</f>
        <v/>
      </c>
      <c r="E96" s="135" t="str">
        <f>IF('G2 MT Reading Scoresheet'!E96&lt;&gt;"",'G2 MT Reading Scoresheet'!E96,"")</f>
        <v/>
      </c>
      <c r="F96" s="272" t="str">
        <f>IF('G2 MT Reading Scoresheet'!F96&lt;&gt;"",'G2 MT Reading Scoresheet'!F96,"")</f>
        <v/>
      </c>
      <c r="G96" s="269" t="str">
        <f>IF('G2 MT Reading Scoresheet'!G96&lt;&gt;"",'G2 MT Reading Scoresheet'!G96,"")</f>
        <v/>
      </c>
      <c r="H96" s="81" t="str">
        <f>IF('G2 MT Reading Scoresheet'!H96&lt;&gt;"",'G2 MT Reading Scoresheet'!H96,"")</f>
        <v/>
      </c>
      <c r="I96" s="81" t="str">
        <f>IF('G2 MT Reading Scoresheet'!I96&lt;&gt;"",'G2 MT Reading Scoresheet'!I96,"")</f>
        <v/>
      </c>
      <c r="J96" s="82" t="str">
        <f>IF('G2 MT Reading Scoresheet'!J96&lt;&gt;"",'G2 MT Reading Scoresheet'!J96,"")</f>
        <v/>
      </c>
      <c r="K96" s="270" t="str">
        <f>IF('G2 MT Reading Scoresheet'!K96&lt;&gt;"",'G2 MT Reading Scoresheet'!K96,"")</f>
        <v/>
      </c>
      <c r="L96" s="87" t="str">
        <f>IF('G2 MT Reading Scoresheet'!L96&lt;&gt;"",'G2 MT Reading Scoresheet'!L96,"")</f>
        <v/>
      </c>
      <c r="M96" s="118" t="str">
        <f>IF('G2 MT Reading Scoresheet'!M96&lt;&gt;"",'G2 MT Reading Scoresheet'!M96,"")</f>
        <v/>
      </c>
      <c r="N96" s="81" t="str">
        <f>IF('G2 MT Reading Scoresheet'!N96&lt;&gt;"",'G2 MT Reading Scoresheet'!N96,"")</f>
        <v/>
      </c>
      <c r="O96" s="81" t="str">
        <f>IF('G2 MT Reading Scoresheet'!O96&lt;&gt;"",'G2 MT Reading Scoresheet'!O96,"")</f>
        <v/>
      </c>
      <c r="P96" s="118" t="str">
        <f>IF('G2 MT Reading Scoresheet'!P96&lt;&gt;"",'G2 MT Reading Scoresheet'!P96,"")</f>
        <v/>
      </c>
      <c r="Q96" s="122" t="str">
        <f>IF('G2 MT Reading Scoresheet'!Q96&lt;&gt;"",'G2 MT Reading Scoresheet'!Q96,"")</f>
        <v/>
      </c>
      <c r="R96" s="81" t="str">
        <f>IF('G2 MT Reading Scoresheet'!R96&lt;&gt;"",'G2 MT Reading Scoresheet'!R96,"")</f>
        <v/>
      </c>
      <c r="S96" s="81" t="str">
        <f>IF('G2 MT Reading Scoresheet'!S96&lt;&gt;"",'G2 MT Reading Scoresheet'!S96,"")</f>
        <v/>
      </c>
      <c r="T96" s="82" t="str">
        <f>IF('G2 MT Reading Scoresheet'!T96&lt;&gt;"",'G2 MT Reading Scoresheet'!T96,"")</f>
        <v/>
      </c>
      <c r="U96" s="87" t="str">
        <f>IF('G2 MT Reading Scoresheet'!U96&lt;&gt;"",'G2 MT Reading Scoresheet'!U96,"")</f>
        <v/>
      </c>
      <c r="V96" s="271"/>
      <c r="Y96" s="221" t="str">
        <f t="shared" si="2"/>
        <v/>
      </c>
    </row>
    <row r="97" spans="1:25" ht="14.4" x14ac:dyDescent="0.3">
      <c r="A97" s="4">
        <f t="shared" si="1"/>
        <v>87</v>
      </c>
      <c r="B97" s="118" t="str">
        <f>IF('G2 MT Reading Scoresheet'!B97&lt;&gt;"",'G2 MT Reading Scoresheet'!B97,"")</f>
        <v/>
      </c>
      <c r="C97" s="133" t="str">
        <f>IF('G2 MT Reading Scoresheet'!C97&lt;&gt;"",'G2 MT Reading Scoresheet'!C97,"")</f>
        <v/>
      </c>
      <c r="D97" s="134" t="str">
        <f>IF('G2 MT Reading Scoresheet'!D97&lt;&gt;"",'G2 MT Reading Scoresheet'!D97,"")</f>
        <v/>
      </c>
      <c r="E97" s="135" t="str">
        <f>IF('G2 MT Reading Scoresheet'!E97&lt;&gt;"",'G2 MT Reading Scoresheet'!E97,"")</f>
        <v/>
      </c>
      <c r="F97" s="268" t="str">
        <f>IF('G2 MT Reading Scoresheet'!F97&lt;&gt;"",'G2 MT Reading Scoresheet'!F97,"")</f>
        <v/>
      </c>
      <c r="G97" s="262" t="str">
        <f>IF('G2 MT Reading Scoresheet'!G97&lt;&gt;"",'G2 MT Reading Scoresheet'!G97,"")</f>
        <v/>
      </c>
      <c r="H97" s="273" t="str">
        <f>IF('G2 MT Reading Scoresheet'!H97&lt;&gt;"",'G2 MT Reading Scoresheet'!H97,"")</f>
        <v/>
      </c>
      <c r="I97" s="81" t="str">
        <f>IF('G2 MT Reading Scoresheet'!I97&lt;&gt;"",'G2 MT Reading Scoresheet'!I97,"")</f>
        <v/>
      </c>
      <c r="J97" s="82" t="str">
        <f>IF('G2 MT Reading Scoresheet'!J97&lt;&gt;"",'G2 MT Reading Scoresheet'!J97,"")</f>
        <v/>
      </c>
      <c r="K97" s="274" t="str">
        <f>IF('G2 MT Reading Scoresheet'!K97&lt;&gt;"",'G2 MT Reading Scoresheet'!K97,"")</f>
        <v/>
      </c>
      <c r="L97" s="275" t="str">
        <f>IF('G2 MT Reading Scoresheet'!L97&lt;&gt;"",'G2 MT Reading Scoresheet'!L97,"")</f>
        <v/>
      </c>
      <c r="M97" s="118" t="str">
        <f>IF('G2 MT Reading Scoresheet'!M97&lt;&gt;"",'G2 MT Reading Scoresheet'!M97,"")</f>
        <v/>
      </c>
      <c r="N97" s="273" t="str">
        <f>IF('G2 MT Reading Scoresheet'!N97&lt;&gt;"",'G2 MT Reading Scoresheet'!N97,"")</f>
        <v/>
      </c>
      <c r="O97" s="273" t="str">
        <f>IF('G2 MT Reading Scoresheet'!O97&lt;&gt;"",'G2 MT Reading Scoresheet'!O97,"")</f>
        <v/>
      </c>
      <c r="P97" s="118" t="str">
        <f>IF('G2 MT Reading Scoresheet'!P97&lt;&gt;"",'G2 MT Reading Scoresheet'!P97,"")</f>
        <v/>
      </c>
      <c r="Q97" s="122" t="str">
        <f>IF('G2 MT Reading Scoresheet'!Q97&lt;&gt;"",'G2 MT Reading Scoresheet'!Q97,"")</f>
        <v/>
      </c>
      <c r="R97" s="273" t="str">
        <f>IF('G2 MT Reading Scoresheet'!R97&lt;&gt;"",'G2 MT Reading Scoresheet'!R97,"")</f>
        <v/>
      </c>
      <c r="S97" s="273" t="str">
        <f>IF('G2 MT Reading Scoresheet'!S97&lt;&gt;"",'G2 MT Reading Scoresheet'!S97,"")</f>
        <v/>
      </c>
      <c r="T97" s="276" t="str">
        <f>IF('G2 MT Reading Scoresheet'!T97&lt;&gt;"",'G2 MT Reading Scoresheet'!T97,"")</f>
        <v/>
      </c>
      <c r="U97" s="87" t="str">
        <f>IF('G2 MT Reading Scoresheet'!U97&lt;&gt;"",'G2 MT Reading Scoresheet'!U97,"")</f>
        <v/>
      </c>
      <c r="V97" s="277"/>
      <c r="Y97" s="221" t="str">
        <f t="shared" si="2"/>
        <v/>
      </c>
    </row>
    <row r="98" spans="1:25" ht="14.4" x14ac:dyDescent="0.3">
      <c r="A98" s="5">
        <f t="shared" si="1"/>
        <v>88</v>
      </c>
      <c r="B98" s="118" t="str">
        <f>IF('G2 MT Reading Scoresheet'!B98&lt;&gt;"",'G2 MT Reading Scoresheet'!B98,"")</f>
        <v/>
      </c>
      <c r="C98" s="133" t="str">
        <f>IF('G2 MT Reading Scoresheet'!C98&lt;&gt;"",'G2 MT Reading Scoresheet'!C98,"")</f>
        <v/>
      </c>
      <c r="D98" s="134" t="str">
        <f>IF('G2 MT Reading Scoresheet'!D98&lt;&gt;"",'G2 MT Reading Scoresheet'!D98,"")</f>
        <v/>
      </c>
      <c r="E98" s="135" t="str">
        <f>IF('G2 MT Reading Scoresheet'!E98&lt;&gt;"",'G2 MT Reading Scoresheet'!E98,"")</f>
        <v/>
      </c>
      <c r="F98" s="272" t="str">
        <f>IF('G2 MT Reading Scoresheet'!F98&lt;&gt;"",'G2 MT Reading Scoresheet'!F98,"")</f>
        <v/>
      </c>
      <c r="G98" s="269" t="str">
        <f>IF('G2 MT Reading Scoresheet'!G98&lt;&gt;"",'G2 MT Reading Scoresheet'!G98,"")</f>
        <v/>
      </c>
      <c r="H98" s="81" t="str">
        <f>IF('G2 MT Reading Scoresheet'!H98&lt;&gt;"",'G2 MT Reading Scoresheet'!H98,"")</f>
        <v/>
      </c>
      <c r="I98" s="81" t="str">
        <f>IF('G2 MT Reading Scoresheet'!I98&lt;&gt;"",'G2 MT Reading Scoresheet'!I98,"")</f>
        <v/>
      </c>
      <c r="J98" s="82" t="str">
        <f>IF('G2 MT Reading Scoresheet'!J98&lt;&gt;"",'G2 MT Reading Scoresheet'!J98,"")</f>
        <v/>
      </c>
      <c r="K98" s="270" t="str">
        <f>IF('G2 MT Reading Scoresheet'!K98&lt;&gt;"",'G2 MT Reading Scoresheet'!K98,"")</f>
        <v/>
      </c>
      <c r="L98" s="87" t="str">
        <f>IF('G2 MT Reading Scoresheet'!L98&lt;&gt;"",'G2 MT Reading Scoresheet'!L98,"")</f>
        <v/>
      </c>
      <c r="M98" s="118" t="str">
        <f>IF('G2 MT Reading Scoresheet'!M98&lt;&gt;"",'G2 MT Reading Scoresheet'!M98,"")</f>
        <v/>
      </c>
      <c r="N98" s="81" t="str">
        <f>IF('G2 MT Reading Scoresheet'!N98&lt;&gt;"",'G2 MT Reading Scoresheet'!N98,"")</f>
        <v/>
      </c>
      <c r="O98" s="81" t="str">
        <f>IF('G2 MT Reading Scoresheet'!O98&lt;&gt;"",'G2 MT Reading Scoresheet'!O98,"")</f>
        <v/>
      </c>
      <c r="P98" s="118" t="str">
        <f>IF('G2 MT Reading Scoresheet'!P98&lt;&gt;"",'G2 MT Reading Scoresheet'!P98,"")</f>
        <v/>
      </c>
      <c r="Q98" s="122" t="str">
        <f>IF('G2 MT Reading Scoresheet'!Q98&lt;&gt;"",'G2 MT Reading Scoresheet'!Q98,"")</f>
        <v/>
      </c>
      <c r="R98" s="81" t="str">
        <f>IF('G2 MT Reading Scoresheet'!R98&lt;&gt;"",'G2 MT Reading Scoresheet'!R98,"")</f>
        <v/>
      </c>
      <c r="S98" s="81" t="str">
        <f>IF('G2 MT Reading Scoresheet'!S98&lt;&gt;"",'G2 MT Reading Scoresheet'!S98,"")</f>
        <v/>
      </c>
      <c r="T98" s="82" t="str">
        <f>IF('G2 MT Reading Scoresheet'!T98&lt;&gt;"",'G2 MT Reading Scoresheet'!T98,"")</f>
        <v/>
      </c>
      <c r="U98" s="87" t="str">
        <f>IF('G2 MT Reading Scoresheet'!U98&lt;&gt;"",'G2 MT Reading Scoresheet'!U98,"")</f>
        <v/>
      </c>
      <c r="V98" s="271"/>
      <c r="Y98" s="221" t="str">
        <f t="shared" si="2"/>
        <v/>
      </c>
    </row>
    <row r="99" spans="1:25" ht="14.4" x14ac:dyDescent="0.3">
      <c r="A99" s="4">
        <f t="shared" si="1"/>
        <v>89</v>
      </c>
      <c r="B99" s="118" t="str">
        <f>IF('G2 MT Reading Scoresheet'!B99&lt;&gt;"",'G2 MT Reading Scoresheet'!B99,"")</f>
        <v/>
      </c>
      <c r="C99" s="133" t="str">
        <f>IF('G2 MT Reading Scoresheet'!C99&lt;&gt;"",'G2 MT Reading Scoresheet'!C99,"")</f>
        <v/>
      </c>
      <c r="D99" s="134" t="str">
        <f>IF('G2 MT Reading Scoresheet'!D99&lt;&gt;"",'G2 MT Reading Scoresheet'!D99,"")</f>
        <v/>
      </c>
      <c r="E99" s="135" t="str">
        <f>IF('G2 MT Reading Scoresheet'!E99&lt;&gt;"",'G2 MT Reading Scoresheet'!E99,"")</f>
        <v/>
      </c>
      <c r="F99" s="268" t="str">
        <f>IF('G2 MT Reading Scoresheet'!F99&lt;&gt;"",'G2 MT Reading Scoresheet'!F99,"")</f>
        <v/>
      </c>
      <c r="G99" s="262" t="str">
        <f>IF('G2 MT Reading Scoresheet'!G99&lt;&gt;"",'G2 MT Reading Scoresheet'!G99,"")</f>
        <v/>
      </c>
      <c r="H99" s="273" t="str">
        <f>IF('G2 MT Reading Scoresheet'!H99&lt;&gt;"",'G2 MT Reading Scoresheet'!H99,"")</f>
        <v/>
      </c>
      <c r="I99" s="81" t="str">
        <f>IF('G2 MT Reading Scoresheet'!I99&lt;&gt;"",'G2 MT Reading Scoresheet'!I99,"")</f>
        <v/>
      </c>
      <c r="J99" s="82" t="str">
        <f>IF('G2 MT Reading Scoresheet'!J99&lt;&gt;"",'G2 MT Reading Scoresheet'!J99,"")</f>
        <v/>
      </c>
      <c r="K99" s="274" t="str">
        <f>IF('G2 MT Reading Scoresheet'!K99&lt;&gt;"",'G2 MT Reading Scoresheet'!K99,"")</f>
        <v/>
      </c>
      <c r="L99" s="275" t="str">
        <f>IF('G2 MT Reading Scoresheet'!L99&lt;&gt;"",'G2 MT Reading Scoresheet'!L99,"")</f>
        <v/>
      </c>
      <c r="M99" s="118" t="str">
        <f>IF('G2 MT Reading Scoresheet'!M99&lt;&gt;"",'G2 MT Reading Scoresheet'!M99,"")</f>
        <v/>
      </c>
      <c r="N99" s="273" t="str">
        <f>IF('G2 MT Reading Scoresheet'!N99&lt;&gt;"",'G2 MT Reading Scoresheet'!N99,"")</f>
        <v/>
      </c>
      <c r="O99" s="273" t="str">
        <f>IF('G2 MT Reading Scoresheet'!O99&lt;&gt;"",'G2 MT Reading Scoresheet'!O99,"")</f>
        <v/>
      </c>
      <c r="P99" s="118" t="str">
        <f>IF('G2 MT Reading Scoresheet'!P99&lt;&gt;"",'G2 MT Reading Scoresheet'!P99,"")</f>
        <v/>
      </c>
      <c r="Q99" s="122" t="str">
        <f>IF('G2 MT Reading Scoresheet'!Q99&lt;&gt;"",'G2 MT Reading Scoresheet'!Q99,"")</f>
        <v/>
      </c>
      <c r="R99" s="273" t="str">
        <f>IF('G2 MT Reading Scoresheet'!R99&lt;&gt;"",'G2 MT Reading Scoresheet'!R99,"")</f>
        <v/>
      </c>
      <c r="S99" s="273" t="str">
        <f>IF('G2 MT Reading Scoresheet'!S99&lt;&gt;"",'G2 MT Reading Scoresheet'!S99,"")</f>
        <v/>
      </c>
      <c r="T99" s="276" t="str">
        <f>IF('G2 MT Reading Scoresheet'!T99&lt;&gt;"",'G2 MT Reading Scoresheet'!T99,"")</f>
        <v/>
      </c>
      <c r="U99" s="87" t="str">
        <f>IF('G2 MT Reading Scoresheet'!U99&lt;&gt;"",'G2 MT Reading Scoresheet'!U99,"")</f>
        <v/>
      </c>
      <c r="V99" s="277"/>
      <c r="Y99" s="221" t="str">
        <f t="shared" si="2"/>
        <v/>
      </c>
    </row>
    <row r="100" spans="1:25" ht="14.4" x14ac:dyDescent="0.3">
      <c r="A100" s="5">
        <f t="shared" si="1"/>
        <v>90</v>
      </c>
      <c r="B100" s="118" t="str">
        <f>IF('G2 MT Reading Scoresheet'!B100&lt;&gt;"",'G2 MT Reading Scoresheet'!B100,"")</f>
        <v/>
      </c>
      <c r="C100" s="133" t="str">
        <f>IF('G2 MT Reading Scoresheet'!C100&lt;&gt;"",'G2 MT Reading Scoresheet'!C100,"")</f>
        <v/>
      </c>
      <c r="D100" s="134" t="str">
        <f>IF('G2 MT Reading Scoresheet'!D100&lt;&gt;"",'G2 MT Reading Scoresheet'!D100,"")</f>
        <v/>
      </c>
      <c r="E100" s="135" t="str">
        <f>IF('G2 MT Reading Scoresheet'!E100&lt;&gt;"",'G2 MT Reading Scoresheet'!E100,"")</f>
        <v/>
      </c>
      <c r="F100" s="272" t="str">
        <f>IF('G2 MT Reading Scoresheet'!F100&lt;&gt;"",'G2 MT Reading Scoresheet'!F100,"")</f>
        <v/>
      </c>
      <c r="G100" s="269" t="str">
        <f>IF('G2 MT Reading Scoresheet'!G100&lt;&gt;"",'G2 MT Reading Scoresheet'!G100,"")</f>
        <v/>
      </c>
      <c r="H100" s="81" t="str">
        <f>IF('G2 MT Reading Scoresheet'!H100&lt;&gt;"",'G2 MT Reading Scoresheet'!H100,"")</f>
        <v/>
      </c>
      <c r="I100" s="81" t="str">
        <f>IF('G2 MT Reading Scoresheet'!I100&lt;&gt;"",'G2 MT Reading Scoresheet'!I100,"")</f>
        <v/>
      </c>
      <c r="J100" s="82" t="str">
        <f>IF('G2 MT Reading Scoresheet'!J100&lt;&gt;"",'G2 MT Reading Scoresheet'!J100,"")</f>
        <v/>
      </c>
      <c r="K100" s="270" t="str">
        <f>IF('G2 MT Reading Scoresheet'!K100&lt;&gt;"",'G2 MT Reading Scoresheet'!K100,"")</f>
        <v/>
      </c>
      <c r="L100" s="87" t="str">
        <f>IF('G2 MT Reading Scoresheet'!L100&lt;&gt;"",'G2 MT Reading Scoresheet'!L100,"")</f>
        <v/>
      </c>
      <c r="M100" s="118" t="str">
        <f>IF('G2 MT Reading Scoresheet'!M100&lt;&gt;"",'G2 MT Reading Scoresheet'!M100,"")</f>
        <v/>
      </c>
      <c r="N100" s="81" t="str">
        <f>IF('G2 MT Reading Scoresheet'!N100&lt;&gt;"",'G2 MT Reading Scoresheet'!N100,"")</f>
        <v/>
      </c>
      <c r="O100" s="81" t="str">
        <f>IF('G2 MT Reading Scoresheet'!O100&lt;&gt;"",'G2 MT Reading Scoresheet'!O100,"")</f>
        <v/>
      </c>
      <c r="P100" s="118" t="str">
        <f>IF('G2 MT Reading Scoresheet'!P100&lt;&gt;"",'G2 MT Reading Scoresheet'!P100,"")</f>
        <v/>
      </c>
      <c r="Q100" s="122" t="str">
        <f>IF('G2 MT Reading Scoresheet'!Q100&lt;&gt;"",'G2 MT Reading Scoresheet'!Q100,"")</f>
        <v/>
      </c>
      <c r="R100" s="81" t="str">
        <f>IF('G2 MT Reading Scoresheet'!R100&lt;&gt;"",'G2 MT Reading Scoresheet'!R100,"")</f>
        <v/>
      </c>
      <c r="S100" s="81" t="str">
        <f>IF('G2 MT Reading Scoresheet'!S100&lt;&gt;"",'G2 MT Reading Scoresheet'!S100,"")</f>
        <v/>
      </c>
      <c r="T100" s="82" t="str">
        <f>IF('G2 MT Reading Scoresheet'!T100&lt;&gt;"",'G2 MT Reading Scoresheet'!T100,"")</f>
        <v/>
      </c>
      <c r="U100" s="87" t="str">
        <f>IF('G2 MT Reading Scoresheet'!U100&lt;&gt;"",'G2 MT Reading Scoresheet'!U100,"")</f>
        <v/>
      </c>
      <c r="V100" s="271"/>
      <c r="Y100" s="221" t="str">
        <f t="shared" si="2"/>
        <v/>
      </c>
    </row>
    <row r="101" spans="1:25" ht="14.4" x14ac:dyDescent="0.3">
      <c r="A101" s="4">
        <f t="shared" si="1"/>
        <v>91</v>
      </c>
      <c r="B101" s="118" t="str">
        <f>IF('G2 MT Reading Scoresheet'!B101&lt;&gt;"",'G2 MT Reading Scoresheet'!B101,"")</f>
        <v/>
      </c>
      <c r="C101" s="133" t="str">
        <f>IF('G2 MT Reading Scoresheet'!C101&lt;&gt;"",'G2 MT Reading Scoresheet'!C101,"")</f>
        <v/>
      </c>
      <c r="D101" s="134" t="str">
        <f>IF('G2 MT Reading Scoresheet'!D101&lt;&gt;"",'G2 MT Reading Scoresheet'!D101,"")</f>
        <v/>
      </c>
      <c r="E101" s="135" t="str">
        <f>IF('G2 MT Reading Scoresheet'!E101&lt;&gt;"",'G2 MT Reading Scoresheet'!E101,"")</f>
        <v/>
      </c>
      <c r="F101" s="268" t="str">
        <f>IF('G2 MT Reading Scoresheet'!F101&lt;&gt;"",'G2 MT Reading Scoresheet'!F101,"")</f>
        <v/>
      </c>
      <c r="G101" s="262" t="str">
        <f>IF('G2 MT Reading Scoresheet'!G101&lt;&gt;"",'G2 MT Reading Scoresheet'!G101,"")</f>
        <v/>
      </c>
      <c r="H101" s="273" t="str">
        <f>IF('G2 MT Reading Scoresheet'!H101&lt;&gt;"",'G2 MT Reading Scoresheet'!H101,"")</f>
        <v/>
      </c>
      <c r="I101" s="81" t="str">
        <f>IF('G2 MT Reading Scoresheet'!I101&lt;&gt;"",'G2 MT Reading Scoresheet'!I101,"")</f>
        <v/>
      </c>
      <c r="J101" s="82" t="str">
        <f>IF('G2 MT Reading Scoresheet'!J101&lt;&gt;"",'G2 MT Reading Scoresheet'!J101,"")</f>
        <v/>
      </c>
      <c r="K101" s="274" t="str">
        <f>IF('G2 MT Reading Scoresheet'!K101&lt;&gt;"",'G2 MT Reading Scoresheet'!K101,"")</f>
        <v/>
      </c>
      <c r="L101" s="275" t="str">
        <f>IF('G2 MT Reading Scoresheet'!L101&lt;&gt;"",'G2 MT Reading Scoresheet'!L101,"")</f>
        <v/>
      </c>
      <c r="M101" s="118" t="str">
        <f>IF('G2 MT Reading Scoresheet'!M101&lt;&gt;"",'G2 MT Reading Scoresheet'!M101,"")</f>
        <v/>
      </c>
      <c r="N101" s="273" t="str">
        <f>IF('G2 MT Reading Scoresheet'!N101&lt;&gt;"",'G2 MT Reading Scoresheet'!N101,"")</f>
        <v/>
      </c>
      <c r="O101" s="273" t="str">
        <f>IF('G2 MT Reading Scoresheet'!O101&lt;&gt;"",'G2 MT Reading Scoresheet'!O101,"")</f>
        <v/>
      </c>
      <c r="P101" s="118" t="str">
        <f>IF('G2 MT Reading Scoresheet'!P101&lt;&gt;"",'G2 MT Reading Scoresheet'!P101,"")</f>
        <v/>
      </c>
      <c r="Q101" s="122" t="str">
        <f>IF('G2 MT Reading Scoresheet'!Q101&lt;&gt;"",'G2 MT Reading Scoresheet'!Q101,"")</f>
        <v/>
      </c>
      <c r="R101" s="273" t="str">
        <f>IF('G2 MT Reading Scoresheet'!R101&lt;&gt;"",'G2 MT Reading Scoresheet'!R101,"")</f>
        <v/>
      </c>
      <c r="S101" s="273" t="str">
        <f>IF('G2 MT Reading Scoresheet'!S101&lt;&gt;"",'G2 MT Reading Scoresheet'!S101,"")</f>
        <v/>
      </c>
      <c r="T101" s="276" t="str">
        <f>IF('G2 MT Reading Scoresheet'!T101&lt;&gt;"",'G2 MT Reading Scoresheet'!T101,"")</f>
        <v/>
      </c>
      <c r="U101" s="87" t="str">
        <f>IF('G2 MT Reading Scoresheet'!U101&lt;&gt;"",'G2 MT Reading Scoresheet'!U101,"")</f>
        <v/>
      </c>
      <c r="V101" s="277"/>
      <c r="Y101" s="221" t="str">
        <f t="shared" si="2"/>
        <v/>
      </c>
    </row>
    <row r="102" spans="1:25" ht="14.4" x14ac:dyDescent="0.3">
      <c r="A102" s="5">
        <f t="shared" si="1"/>
        <v>92</v>
      </c>
      <c r="B102" s="118" t="str">
        <f>IF('G2 MT Reading Scoresheet'!B102&lt;&gt;"",'G2 MT Reading Scoresheet'!B102,"")</f>
        <v/>
      </c>
      <c r="C102" s="133" t="str">
        <f>IF('G2 MT Reading Scoresheet'!C102&lt;&gt;"",'G2 MT Reading Scoresheet'!C102,"")</f>
        <v/>
      </c>
      <c r="D102" s="134" t="str">
        <f>IF('G2 MT Reading Scoresheet'!D102&lt;&gt;"",'G2 MT Reading Scoresheet'!D102,"")</f>
        <v/>
      </c>
      <c r="E102" s="135" t="str">
        <f>IF('G2 MT Reading Scoresheet'!E102&lt;&gt;"",'G2 MT Reading Scoresheet'!E102,"")</f>
        <v/>
      </c>
      <c r="F102" s="272" t="str">
        <f>IF('G2 MT Reading Scoresheet'!F102&lt;&gt;"",'G2 MT Reading Scoresheet'!F102,"")</f>
        <v/>
      </c>
      <c r="G102" s="269" t="str">
        <f>IF('G2 MT Reading Scoresheet'!G102&lt;&gt;"",'G2 MT Reading Scoresheet'!G102,"")</f>
        <v/>
      </c>
      <c r="H102" s="81" t="str">
        <f>IF('G2 MT Reading Scoresheet'!H102&lt;&gt;"",'G2 MT Reading Scoresheet'!H102,"")</f>
        <v/>
      </c>
      <c r="I102" s="81" t="str">
        <f>IF('G2 MT Reading Scoresheet'!I102&lt;&gt;"",'G2 MT Reading Scoresheet'!I102,"")</f>
        <v/>
      </c>
      <c r="J102" s="82" t="str">
        <f>IF('G2 MT Reading Scoresheet'!J102&lt;&gt;"",'G2 MT Reading Scoresheet'!J102,"")</f>
        <v/>
      </c>
      <c r="K102" s="270" t="str">
        <f>IF('G2 MT Reading Scoresheet'!K102&lt;&gt;"",'G2 MT Reading Scoresheet'!K102,"")</f>
        <v/>
      </c>
      <c r="L102" s="87" t="str">
        <f>IF('G2 MT Reading Scoresheet'!L102&lt;&gt;"",'G2 MT Reading Scoresheet'!L102,"")</f>
        <v/>
      </c>
      <c r="M102" s="118" t="str">
        <f>IF('G2 MT Reading Scoresheet'!M102&lt;&gt;"",'G2 MT Reading Scoresheet'!M102,"")</f>
        <v/>
      </c>
      <c r="N102" s="81" t="str">
        <f>IF('G2 MT Reading Scoresheet'!N102&lt;&gt;"",'G2 MT Reading Scoresheet'!N102,"")</f>
        <v/>
      </c>
      <c r="O102" s="81" t="str">
        <f>IF('G2 MT Reading Scoresheet'!O102&lt;&gt;"",'G2 MT Reading Scoresheet'!O102,"")</f>
        <v/>
      </c>
      <c r="P102" s="118" t="str">
        <f>IF('G2 MT Reading Scoresheet'!P102&lt;&gt;"",'G2 MT Reading Scoresheet'!P102,"")</f>
        <v/>
      </c>
      <c r="Q102" s="122" t="str">
        <f>IF('G2 MT Reading Scoresheet'!Q102&lt;&gt;"",'G2 MT Reading Scoresheet'!Q102,"")</f>
        <v/>
      </c>
      <c r="R102" s="81" t="str">
        <f>IF('G2 MT Reading Scoresheet'!R102&lt;&gt;"",'G2 MT Reading Scoresheet'!R102,"")</f>
        <v/>
      </c>
      <c r="S102" s="81" t="str">
        <f>IF('G2 MT Reading Scoresheet'!S102&lt;&gt;"",'G2 MT Reading Scoresheet'!S102,"")</f>
        <v/>
      </c>
      <c r="T102" s="82" t="str">
        <f>IF('G2 MT Reading Scoresheet'!T102&lt;&gt;"",'G2 MT Reading Scoresheet'!T102,"")</f>
        <v/>
      </c>
      <c r="U102" s="87" t="str">
        <f>IF('G2 MT Reading Scoresheet'!U102&lt;&gt;"",'G2 MT Reading Scoresheet'!U102,"")</f>
        <v/>
      </c>
      <c r="V102" s="271"/>
      <c r="Y102" s="221" t="str">
        <f t="shared" si="2"/>
        <v/>
      </c>
    </row>
    <row r="103" spans="1:25" ht="14.4" x14ac:dyDescent="0.3">
      <c r="A103" s="4">
        <f t="shared" si="1"/>
        <v>93</v>
      </c>
      <c r="B103" s="118" t="str">
        <f>IF('G2 MT Reading Scoresheet'!B103&lt;&gt;"",'G2 MT Reading Scoresheet'!B103,"")</f>
        <v/>
      </c>
      <c r="C103" s="133" t="str">
        <f>IF('G2 MT Reading Scoresheet'!C103&lt;&gt;"",'G2 MT Reading Scoresheet'!C103,"")</f>
        <v/>
      </c>
      <c r="D103" s="134" t="str">
        <f>IF('G2 MT Reading Scoresheet'!D103&lt;&gt;"",'G2 MT Reading Scoresheet'!D103,"")</f>
        <v/>
      </c>
      <c r="E103" s="135" t="str">
        <f>IF('G2 MT Reading Scoresheet'!E103&lt;&gt;"",'G2 MT Reading Scoresheet'!E103,"")</f>
        <v/>
      </c>
      <c r="F103" s="268" t="str">
        <f>IF('G2 MT Reading Scoresheet'!F103&lt;&gt;"",'G2 MT Reading Scoresheet'!F103,"")</f>
        <v/>
      </c>
      <c r="G103" s="262" t="str">
        <f>IF('G2 MT Reading Scoresheet'!G103&lt;&gt;"",'G2 MT Reading Scoresheet'!G103,"")</f>
        <v/>
      </c>
      <c r="H103" s="273" t="str">
        <f>IF('G2 MT Reading Scoresheet'!H103&lt;&gt;"",'G2 MT Reading Scoresheet'!H103,"")</f>
        <v/>
      </c>
      <c r="I103" s="81" t="str">
        <f>IF('G2 MT Reading Scoresheet'!I103&lt;&gt;"",'G2 MT Reading Scoresheet'!I103,"")</f>
        <v/>
      </c>
      <c r="J103" s="82" t="str">
        <f>IF('G2 MT Reading Scoresheet'!J103&lt;&gt;"",'G2 MT Reading Scoresheet'!J103,"")</f>
        <v/>
      </c>
      <c r="K103" s="274" t="str">
        <f>IF('G2 MT Reading Scoresheet'!K103&lt;&gt;"",'G2 MT Reading Scoresheet'!K103,"")</f>
        <v/>
      </c>
      <c r="L103" s="275" t="str">
        <f>IF('G2 MT Reading Scoresheet'!L103&lt;&gt;"",'G2 MT Reading Scoresheet'!L103,"")</f>
        <v/>
      </c>
      <c r="M103" s="118" t="str">
        <f>IF('G2 MT Reading Scoresheet'!M103&lt;&gt;"",'G2 MT Reading Scoresheet'!M103,"")</f>
        <v/>
      </c>
      <c r="N103" s="273" t="str">
        <f>IF('G2 MT Reading Scoresheet'!N103&lt;&gt;"",'G2 MT Reading Scoresheet'!N103,"")</f>
        <v/>
      </c>
      <c r="O103" s="273" t="str">
        <f>IF('G2 MT Reading Scoresheet'!O103&lt;&gt;"",'G2 MT Reading Scoresheet'!O103,"")</f>
        <v/>
      </c>
      <c r="P103" s="118" t="str">
        <f>IF('G2 MT Reading Scoresheet'!P103&lt;&gt;"",'G2 MT Reading Scoresheet'!P103,"")</f>
        <v/>
      </c>
      <c r="Q103" s="122" t="str">
        <f>IF('G2 MT Reading Scoresheet'!Q103&lt;&gt;"",'G2 MT Reading Scoresheet'!Q103,"")</f>
        <v/>
      </c>
      <c r="R103" s="273" t="str">
        <f>IF('G2 MT Reading Scoresheet'!R103&lt;&gt;"",'G2 MT Reading Scoresheet'!R103,"")</f>
        <v/>
      </c>
      <c r="S103" s="273" t="str">
        <f>IF('G2 MT Reading Scoresheet'!S103&lt;&gt;"",'G2 MT Reading Scoresheet'!S103,"")</f>
        <v/>
      </c>
      <c r="T103" s="276" t="str">
        <f>IF('G2 MT Reading Scoresheet'!T103&lt;&gt;"",'G2 MT Reading Scoresheet'!T103,"")</f>
        <v/>
      </c>
      <c r="U103" s="87" t="str">
        <f>IF('G2 MT Reading Scoresheet'!U103&lt;&gt;"",'G2 MT Reading Scoresheet'!U103,"")</f>
        <v/>
      </c>
      <c r="V103" s="277"/>
      <c r="Y103" s="221" t="str">
        <f t="shared" si="2"/>
        <v/>
      </c>
    </row>
    <row r="104" spans="1:25" ht="14.4" x14ac:dyDescent="0.3">
      <c r="A104" s="5">
        <f t="shared" si="1"/>
        <v>94</v>
      </c>
      <c r="B104" s="118" t="str">
        <f>IF('G2 MT Reading Scoresheet'!B104&lt;&gt;"",'G2 MT Reading Scoresheet'!B104,"")</f>
        <v/>
      </c>
      <c r="C104" s="133" t="str">
        <f>IF('G2 MT Reading Scoresheet'!C104&lt;&gt;"",'G2 MT Reading Scoresheet'!C104,"")</f>
        <v/>
      </c>
      <c r="D104" s="134" t="str">
        <f>IF('G2 MT Reading Scoresheet'!D104&lt;&gt;"",'G2 MT Reading Scoresheet'!D104,"")</f>
        <v/>
      </c>
      <c r="E104" s="135" t="str">
        <f>IF('G2 MT Reading Scoresheet'!E104&lt;&gt;"",'G2 MT Reading Scoresheet'!E104,"")</f>
        <v/>
      </c>
      <c r="F104" s="272" t="str">
        <f>IF('G2 MT Reading Scoresheet'!F104&lt;&gt;"",'G2 MT Reading Scoresheet'!F104,"")</f>
        <v/>
      </c>
      <c r="G104" s="269" t="str">
        <f>IF('G2 MT Reading Scoresheet'!G104&lt;&gt;"",'G2 MT Reading Scoresheet'!G104,"")</f>
        <v/>
      </c>
      <c r="H104" s="81" t="str">
        <f>IF('G2 MT Reading Scoresheet'!H104&lt;&gt;"",'G2 MT Reading Scoresheet'!H104,"")</f>
        <v/>
      </c>
      <c r="I104" s="81" t="str">
        <f>IF('G2 MT Reading Scoresheet'!I104&lt;&gt;"",'G2 MT Reading Scoresheet'!I104,"")</f>
        <v/>
      </c>
      <c r="J104" s="82" t="str">
        <f>IF('G2 MT Reading Scoresheet'!J104&lt;&gt;"",'G2 MT Reading Scoresheet'!J104,"")</f>
        <v/>
      </c>
      <c r="K104" s="270" t="str">
        <f>IF('G2 MT Reading Scoresheet'!K104&lt;&gt;"",'G2 MT Reading Scoresheet'!K104,"")</f>
        <v/>
      </c>
      <c r="L104" s="87" t="str">
        <f>IF('G2 MT Reading Scoresheet'!L104&lt;&gt;"",'G2 MT Reading Scoresheet'!L104,"")</f>
        <v/>
      </c>
      <c r="M104" s="118" t="str">
        <f>IF('G2 MT Reading Scoresheet'!M104&lt;&gt;"",'G2 MT Reading Scoresheet'!M104,"")</f>
        <v/>
      </c>
      <c r="N104" s="81" t="str">
        <f>IF('G2 MT Reading Scoresheet'!N104&lt;&gt;"",'G2 MT Reading Scoresheet'!N104,"")</f>
        <v/>
      </c>
      <c r="O104" s="81" t="str">
        <f>IF('G2 MT Reading Scoresheet'!O104&lt;&gt;"",'G2 MT Reading Scoresheet'!O104,"")</f>
        <v/>
      </c>
      <c r="P104" s="118" t="str">
        <f>IF('G2 MT Reading Scoresheet'!P104&lt;&gt;"",'G2 MT Reading Scoresheet'!P104,"")</f>
        <v/>
      </c>
      <c r="Q104" s="122" t="str">
        <f>IF('G2 MT Reading Scoresheet'!Q104&lt;&gt;"",'G2 MT Reading Scoresheet'!Q104,"")</f>
        <v/>
      </c>
      <c r="R104" s="81" t="str">
        <f>IF('G2 MT Reading Scoresheet'!R104&lt;&gt;"",'G2 MT Reading Scoresheet'!R104,"")</f>
        <v/>
      </c>
      <c r="S104" s="81" t="str">
        <f>IF('G2 MT Reading Scoresheet'!S104&lt;&gt;"",'G2 MT Reading Scoresheet'!S104,"")</f>
        <v/>
      </c>
      <c r="T104" s="82" t="str">
        <f>IF('G2 MT Reading Scoresheet'!T104&lt;&gt;"",'G2 MT Reading Scoresheet'!T104,"")</f>
        <v/>
      </c>
      <c r="U104" s="87" t="str">
        <f>IF('G2 MT Reading Scoresheet'!U104&lt;&gt;"",'G2 MT Reading Scoresheet'!U104,"")</f>
        <v/>
      </c>
      <c r="V104" s="271"/>
      <c r="Y104" s="221" t="str">
        <f t="shared" si="2"/>
        <v/>
      </c>
    </row>
    <row r="105" spans="1:25" ht="14.4" x14ac:dyDescent="0.3">
      <c r="A105" s="4">
        <f t="shared" si="1"/>
        <v>95</v>
      </c>
      <c r="B105" s="118" t="str">
        <f>IF('G2 MT Reading Scoresheet'!B105&lt;&gt;"",'G2 MT Reading Scoresheet'!B105,"")</f>
        <v/>
      </c>
      <c r="C105" s="133" t="str">
        <f>IF('G2 MT Reading Scoresheet'!C105&lt;&gt;"",'G2 MT Reading Scoresheet'!C105,"")</f>
        <v/>
      </c>
      <c r="D105" s="134" t="str">
        <f>IF('G2 MT Reading Scoresheet'!D105&lt;&gt;"",'G2 MT Reading Scoresheet'!D105,"")</f>
        <v/>
      </c>
      <c r="E105" s="135" t="str">
        <f>IF('G2 MT Reading Scoresheet'!E105&lt;&gt;"",'G2 MT Reading Scoresheet'!E105,"")</f>
        <v/>
      </c>
      <c r="F105" s="268" t="str">
        <f>IF('G2 MT Reading Scoresheet'!F105&lt;&gt;"",'G2 MT Reading Scoresheet'!F105,"")</f>
        <v/>
      </c>
      <c r="G105" s="262" t="str">
        <f>IF('G2 MT Reading Scoresheet'!G105&lt;&gt;"",'G2 MT Reading Scoresheet'!G105,"")</f>
        <v/>
      </c>
      <c r="H105" s="273" t="str">
        <f>IF('G2 MT Reading Scoresheet'!H105&lt;&gt;"",'G2 MT Reading Scoresheet'!H105,"")</f>
        <v/>
      </c>
      <c r="I105" s="81" t="str">
        <f>IF('G2 MT Reading Scoresheet'!I105&lt;&gt;"",'G2 MT Reading Scoresheet'!I105,"")</f>
        <v/>
      </c>
      <c r="J105" s="82" t="str">
        <f>IF('G2 MT Reading Scoresheet'!J105&lt;&gt;"",'G2 MT Reading Scoresheet'!J105,"")</f>
        <v/>
      </c>
      <c r="K105" s="274" t="str">
        <f>IF('G2 MT Reading Scoresheet'!K105&lt;&gt;"",'G2 MT Reading Scoresheet'!K105,"")</f>
        <v/>
      </c>
      <c r="L105" s="275" t="str">
        <f>IF('G2 MT Reading Scoresheet'!L105&lt;&gt;"",'G2 MT Reading Scoresheet'!L105,"")</f>
        <v/>
      </c>
      <c r="M105" s="118" t="str">
        <f>IF('G2 MT Reading Scoresheet'!M105&lt;&gt;"",'G2 MT Reading Scoresheet'!M105,"")</f>
        <v/>
      </c>
      <c r="N105" s="273" t="str">
        <f>IF('G2 MT Reading Scoresheet'!N105&lt;&gt;"",'G2 MT Reading Scoresheet'!N105,"")</f>
        <v/>
      </c>
      <c r="O105" s="273" t="str">
        <f>IF('G2 MT Reading Scoresheet'!O105&lt;&gt;"",'G2 MT Reading Scoresheet'!O105,"")</f>
        <v/>
      </c>
      <c r="P105" s="118" t="str">
        <f>IF('G2 MT Reading Scoresheet'!P105&lt;&gt;"",'G2 MT Reading Scoresheet'!P105,"")</f>
        <v/>
      </c>
      <c r="Q105" s="122" t="str">
        <f>IF('G2 MT Reading Scoresheet'!Q105&lt;&gt;"",'G2 MT Reading Scoresheet'!Q105,"")</f>
        <v/>
      </c>
      <c r="R105" s="273" t="str">
        <f>IF('G2 MT Reading Scoresheet'!R105&lt;&gt;"",'G2 MT Reading Scoresheet'!R105,"")</f>
        <v/>
      </c>
      <c r="S105" s="273" t="str">
        <f>IF('G2 MT Reading Scoresheet'!S105&lt;&gt;"",'G2 MT Reading Scoresheet'!S105,"")</f>
        <v/>
      </c>
      <c r="T105" s="276" t="str">
        <f>IF('G2 MT Reading Scoresheet'!T105&lt;&gt;"",'G2 MT Reading Scoresheet'!T105,"")</f>
        <v/>
      </c>
      <c r="U105" s="87" t="str">
        <f>IF('G2 MT Reading Scoresheet'!U105&lt;&gt;"",'G2 MT Reading Scoresheet'!U105,"")</f>
        <v/>
      </c>
      <c r="V105" s="277"/>
      <c r="Y105" s="221" t="str">
        <f t="shared" si="2"/>
        <v/>
      </c>
    </row>
    <row r="106" spans="1:25" ht="14.4" x14ac:dyDescent="0.3">
      <c r="A106" s="5">
        <f t="shared" si="1"/>
        <v>96</v>
      </c>
      <c r="B106" s="118" t="str">
        <f>IF('G2 MT Reading Scoresheet'!B106&lt;&gt;"",'G2 MT Reading Scoresheet'!B106,"")</f>
        <v/>
      </c>
      <c r="C106" s="133" t="str">
        <f>IF('G2 MT Reading Scoresheet'!C106&lt;&gt;"",'G2 MT Reading Scoresheet'!C106,"")</f>
        <v/>
      </c>
      <c r="D106" s="134" t="str">
        <f>IF('G2 MT Reading Scoresheet'!D106&lt;&gt;"",'G2 MT Reading Scoresheet'!D106,"")</f>
        <v/>
      </c>
      <c r="E106" s="135" t="str">
        <f>IF('G2 MT Reading Scoresheet'!E106&lt;&gt;"",'G2 MT Reading Scoresheet'!E106,"")</f>
        <v/>
      </c>
      <c r="F106" s="272" t="str">
        <f>IF('G2 MT Reading Scoresheet'!F106&lt;&gt;"",'G2 MT Reading Scoresheet'!F106,"")</f>
        <v/>
      </c>
      <c r="G106" s="269" t="str">
        <f>IF('G2 MT Reading Scoresheet'!G106&lt;&gt;"",'G2 MT Reading Scoresheet'!G106,"")</f>
        <v/>
      </c>
      <c r="H106" s="81" t="str">
        <f>IF('G2 MT Reading Scoresheet'!H106&lt;&gt;"",'G2 MT Reading Scoresheet'!H106,"")</f>
        <v/>
      </c>
      <c r="I106" s="81" t="str">
        <f>IF('G2 MT Reading Scoresheet'!I106&lt;&gt;"",'G2 MT Reading Scoresheet'!I106,"")</f>
        <v/>
      </c>
      <c r="J106" s="82" t="str">
        <f>IF('G2 MT Reading Scoresheet'!J106&lt;&gt;"",'G2 MT Reading Scoresheet'!J106,"")</f>
        <v/>
      </c>
      <c r="K106" s="270" t="str">
        <f>IF('G2 MT Reading Scoresheet'!K106&lt;&gt;"",'G2 MT Reading Scoresheet'!K106,"")</f>
        <v/>
      </c>
      <c r="L106" s="87" t="str">
        <f>IF('G2 MT Reading Scoresheet'!L106&lt;&gt;"",'G2 MT Reading Scoresheet'!L106,"")</f>
        <v/>
      </c>
      <c r="M106" s="118" t="str">
        <f>IF('G2 MT Reading Scoresheet'!M106&lt;&gt;"",'G2 MT Reading Scoresheet'!M106,"")</f>
        <v/>
      </c>
      <c r="N106" s="81" t="str">
        <f>IF('G2 MT Reading Scoresheet'!N106&lt;&gt;"",'G2 MT Reading Scoresheet'!N106,"")</f>
        <v/>
      </c>
      <c r="O106" s="81" t="str">
        <f>IF('G2 MT Reading Scoresheet'!O106&lt;&gt;"",'G2 MT Reading Scoresheet'!O106,"")</f>
        <v/>
      </c>
      <c r="P106" s="118" t="str">
        <f>IF('G2 MT Reading Scoresheet'!P106&lt;&gt;"",'G2 MT Reading Scoresheet'!P106,"")</f>
        <v/>
      </c>
      <c r="Q106" s="122" t="str">
        <f>IF('G2 MT Reading Scoresheet'!Q106&lt;&gt;"",'G2 MT Reading Scoresheet'!Q106,"")</f>
        <v/>
      </c>
      <c r="R106" s="81" t="str">
        <f>IF('G2 MT Reading Scoresheet'!R106&lt;&gt;"",'G2 MT Reading Scoresheet'!R106,"")</f>
        <v/>
      </c>
      <c r="S106" s="81" t="str">
        <f>IF('G2 MT Reading Scoresheet'!S106&lt;&gt;"",'G2 MT Reading Scoresheet'!S106,"")</f>
        <v/>
      </c>
      <c r="T106" s="82" t="str">
        <f>IF('G2 MT Reading Scoresheet'!T106&lt;&gt;"",'G2 MT Reading Scoresheet'!T106,"")</f>
        <v/>
      </c>
      <c r="U106" s="87" t="str">
        <f>IF('G2 MT Reading Scoresheet'!U106&lt;&gt;"",'G2 MT Reading Scoresheet'!U106,"")</f>
        <v/>
      </c>
      <c r="V106" s="271"/>
      <c r="Y106" s="221" t="str">
        <f t="shared" si="2"/>
        <v/>
      </c>
    </row>
    <row r="107" spans="1:25" ht="14.4" x14ac:dyDescent="0.3">
      <c r="A107" s="4">
        <f t="shared" si="1"/>
        <v>97</v>
      </c>
      <c r="B107" s="118" t="str">
        <f>IF('G2 MT Reading Scoresheet'!B107&lt;&gt;"",'G2 MT Reading Scoresheet'!B107,"")</f>
        <v/>
      </c>
      <c r="C107" s="133" t="str">
        <f>IF('G2 MT Reading Scoresheet'!C107&lt;&gt;"",'G2 MT Reading Scoresheet'!C107,"")</f>
        <v/>
      </c>
      <c r="D107" s="134" t="str">
        <f>IF('G2 MT Reading Scoresheet'!D107&lt;&gt;"",'G2 MT Reading Scoresheet'!D107,"")</f>
        <v/>
      </c>
      <c r="E107" s="135" t="str">
        <f>IF('G2 MT Reading Scoresheet'!E107&lt;&gt;"",'G2 MT Reading Scoresheet'!E107,"")</f>
        <v/>
      </c>
      <c r="F107" s="268" t="str">
        <f>IF('G2 MT Reading Scoresheet'!F107&lt;&gt;"",'G2 MT Reading Scoresheet'!F107,"")</f>
        <v/>
      </c>
      <c r="G107" s="262" t="str">
        <f>IF('G2 MT Reading Scoresheet'!G107&lt;&gt;"",'G2 MT Reading Scoresheet'!G107,"")</f>
        <v/>
      </c>
      <c r="H107" s="273" t="str">
        <f>IF('G2 MT Reading Scoresheet'!H107&lt;&gt;"",'G2 MT Reading Scoresheet'!H107,"")</f>
        <v/>
      </c>
      <c r="I107" s="81" t="str">
        <f>IF('G2 MT Reading Scoresheet'!I107&lt;&gt;"",'G2 MT Reading Scoresheet'!I107,"")</f>
        <v/>
      </c>
      <c r="J107" s="82" t="str">
        <f>IF('G2 MT Reading Scoresheet'!J107&lt;&gt;"",'G2 MT Reading Scoresheet'!J107,"")</f>
        <v/>
      </c>
      <c r="K107" s="274" t="str">
        <f>IF('G2 MT Reading Scoresheet'!K107&lt;&gt;"",'G2 MT Reading Scoresheet'!K107,"")</f>
        <v/>
      </c>
      <c r="L107" s="275" t="str">
        <f>IF('G2 MT Reading Scoresheet'!L107&lt;&gt;"",'G2 MT Reading Scoresheet'!L107,"")</f>
        <v/>
      </c>
      <c r="M107" s="118" t="str">
        <f>IF('G2 MT Reading Scoresheet'!M107&lt;&gt;"",'G2 MT Reading Scoresheet'!M107,"")</f>
        <v/>
      </c>
      <c r="N107" s="273" t="str">
        <f>IF('G2 MT Reading Scoresheet'!N107&lt;&gt;"",'G2 MT Reading Scoresheet'!N107,"")</f>
        <v/>
      </c>
      <c r="O107" s="273" t="str">
        <f>IF('G2 MT Reading Scoresheet'!O107&lt;&gt;"",'G2 MT Reading Scoresheet'!O107,"")</f>
        <v/>
      </c>
      <c r="P107" s="118" t="str">
        <f>IF('G2 MT Reading Scoresheet'!P107&lt;&gt;"",'G2 MT Reading Scoresheet'!P107,"")</f>
        <v/>
      </c>
      <c r="Q107" s="122" t="str">
        <f>IF('G2 MT Reading Scoresheet'!Q107&lt;&gt;"",'G2 MT Reading Scoresheet'!Q107,"")</f>
        <v/>
      </c>
      <c r="R107" s="273" t="str">
        <f>IF('G2 MT Reading Scoresheet'!R107&lt;&gt;"",'G2 MT Reading Scoresheet'!R107,"")</f>
        <v/>
      </c>
      <c r="S107" s="273" t="str">
        <f>IF('G2 MT Reading Scoresheet'!S107&lt;&gt;"",'G2 MT Reading Scoresheet'!S107,"")</f>
        <v/>
      </c>
      <c r="T107" s="276" t="str">
        <f>IF('G2 MT Reading Scoresheet'!T107&lt;&gt;"",'G2 MT Reading Scoresheet'!T107,"")</f>
        <v/>
      </c>
      <c r="U107" s="87" t="str">
        <f>IF('G2 MT Reading Scoresheet'!U107&lt;&gt;"",'G2 MT Reading Scoresheet'!U107,"")</f>
        <v/>
      </c>
      <c r="V107" s="277"/>
      <c r="Y107" s="221" t="str">
        <f t="shared" si="2"/>
        <v/>
      </c>
    </row>
    <row r="108" spans="1:25" ht="14.4" x14ac:dyDescent="0.3">
      <c r="A108" s="5">
        <f t="shared" si="1"/>
        <v>98</v>
      </c>
      <c r="B108" s="118" t="str">
        <f>IF('G2 MT Reading Scoresheet'!B108&lt;&gt;"",'G2 MT Reading Scoresheet'!B108,"")</f>
        <v/>
      </c>
      <c r="C108" s="133" t="str">
        <f>IF('G2 MT Reading Scoresheet'!C108&lt;&gt;"",'G2 MT Reading Scoresheet'!C108,"")</f>
        <v/>
      </c>
      <c r="D108" s="134" t="str">
        <f>IF('G2 MT Reading Scoresheet'!D108&lt;&gt;"",'G2 MT Reading Scoresheet'!D108,"")</f>
        <v/>
      </c>
      <c r="E108" s="135" t="str">
        <f>IF('G2 MT Reading Scoresheet'!E108&lt;&gt;"",'G2 MT Reading Scoresheet'!E108,"")</f>
        <v/>
      </c>
      <c r="F108" s="272" t="str">
        <f>IF('G2 MT Reading Scoresheet'!F108&lt;&gt;"",'G2 MT Reading Scoresheet'!F108,"")</f>
        <v/>
      </c>
      <c r="G108" s="269" t="str">
        <f>IF('G2 MT Reading Scoresheet'!G108&lt;&gt;"",'G2 MT Reading Scoresheet'!G108,"")</f>
        <v/>
      </c>
      <c r="H108" s="81" t="str">
        <f>IF('G2 MT Reading Scoresheet'!H108&lt;&gt;"",'G2 MT Reading Scoresheet'!H108,"")</f>
        <v/>
      </c>
      <c r="I108" s="81" t="str">
        <f>IF('G2 MT Reading Scoresheet'!I108&lt;&gt;"",'G2 MT Reading Scoresheet'!I108,"")</f>
        <v/>
      </c>
      <c r="J108" s="82" t="str">
        <f>IF('G2 MT Reading Scoresheet'!J108&lt;&gt;"",'G2 MT Reading Scoresheet'!J108,"")</f>
        <v/>
      </c>
      <c r="K108" s="270" t="str">
        <f>IF('G2 MT Reading Scoresheet'!K108&lt;&gt;"",'G2 MT Reading Scoresheet'!K108,"")</f>
        <v/>
      </c>
      <c r="L108" s="87" t="str">
        <f>IF('G2 MT Reading Scoresheet'!L108&lt;&gt;"",'G2 MT Reading Scoresheet'!L108,"")</f>
        <v/>
      </c>
      <c r="M108" s="118" t="str">
        <f>IF('G2 MT Reading Scoresheet'!M108&lt;&gt;"",'G2 MT Reading Scoresheet'!M108,"")</f>
        <v/>
      </c>
      <c r="N108" s="81" t="str">
        <f>IF('G2 MT Reading Scoresheet'!N108&lt;&gt;"",'G2 MT Reading Scoresheet'!N108,"")</f>
        <v/>
      </c>
      <c r="O108" s="81" t="str">
        <f>IF('G2 MT Reading Scoresheet'!O108&lt;&gt;"",'G2 MT Reading Scoresheet'!O108,"")</f>
        <v/>
      </c>
      <c r="P108" s="118" t="str">
        <f>IF('G2 MT Reading Scoresheet'!P108&lt;&gt;"",'G2 MT Reading Scoresheet'!P108,"")</f>
        <v/>
      </c>
      <c r="Q108" s="122" t="str">
        <f>IF('G2 MT Reading Scoresheet'!Q108&lt;&gt;"",'G2 MT Reading Scoresheet'!Q108,"")</f>
        <v/>
      </c>
      <c r="R108" s="81" t="str">
        <f>IF('G2 MT Reading Scoresheet'!R108&lt;&gt;"",'G2 MT Reading Scoresheet'!R108,"")</f>
        <v/>
      </c>
      <c r="S108" s="81" t="str">
        <f>IF('G2 MT Reading Scoresheet'!S108&lt;&gt;"",'G2 MT Reading Scoresheet'!S108,"")</f>
        <v/>
      </c>
      <c r="T108" s="82" t="str">
        <f>IF('G2 MT Reading Scoresheet'!T108&lt;&gt;"",'G2 MT Reading Scoresheet'!T108,"")</f>
        <v/>
      </c>
      <c r="U108" s="87" t="str">
        <f>IF('G2 MT Reading Scoresheet'!U108&lt;&gt;"",'G2 MT Reading Scoresheet'!U108,"")</f>
        <v/>
      </c>
      <c r="V108" s="271"/>
      <c r="Y108" s="221" t="str">
        <f t="shared" si="2"/>
        <v/>
      </c>
    </row>
    <row r="109" spans="1:25" ht="14.4" x14ac:dyDescent="0.3">
      <c r="A109" s="4">
        <f t="shared" si="1"/>
        <v>99</v>
      </c>
      <c r="B109" s="118" t="str">
        <f>IF('G2 MT Reading Scoresheet'!B109&lt;&gt;"",'G2 MT Reading Scoresheet'!B109,"")</f>
        <v/>
      </c>
      <c r="C109" s="133" t="str">
        <f>IF('G2 MT Reading Scoresheet'!C109&lt;&gt;"",'G2 MT Reading Scoresheet'!C109,"")</f>
        <v/>
      </c>
      <c r="D109" s="134" t="str">
        <f>IF('G2 MT Reading Scoresheet'!D109&lt;&gt;"",'G2 MT Reading Scoresheet'!D109,"")</f>
        <v/>
      </c>
      <c r="E109" s="135" t="str">
        <f>IF('G2 MT Reading Scoresheet'!E109&lt;&gt;"",'G2 MT Reading Scoresheet'!E109,"")</f>
        <v/>
      </c>
      <c r="F109" s="268" t="str">
        <f>IF('G2 MT Reading Scoresheet'!F109&lt;&gt;"",'G2 MT Reading Scoresheet'!F109,"")</f>
        <v/>
      </c>
      <c r="G109" s="262" t="str">
        <f>IF('G2 MT Reading Scoresheet'!G109&lt;&gt;"",'G2 MT Reading Scoresheet'!G109,"")</f>
        <v/>
      </c>
      <c r="H109" s="273" t="str">
        <f>IF('G2 MT Reading Scoresheet'!H109&lt;&gt;"",'G2 MT Reading Scoresheet'!H109,"")</f>
        <v/>
      </c>
      <c r="I109" s="81" t="str">
        <f>IF('G2 MT Reading Scoresheet'!I109&lt;&gt;"",'G2 MT Reading Scoresheet'!I109,"")</f>
        <v/>
      </c>
      <c r="J109" s="82" t="str">
        <f>IF('G2 MT Reading Scoresheet'!J109&lt;&gt;"",'G2 MT Reading Scoresheet'!J109,"")</f>
        <v/>
      </c>
      <c r="K109" s="274" t="str">
        <f>IF('G2 MT Reading Scoresheet'!K109&lt;&gt;"",'G2 MT Reading Scoresheet'!K109,"")</f>
        <v/>
      </c>
      <c r="L109" s="275" t="str">
        <f>IF('G2 MT Reading Scoresheet'!L109&lt;&gt;"",'G2 MT Reading Scoresheet'!L109,"")</f>
        <v/>
      </c>
      <c r="M109" s="118" t="str">
        <f>IF('G2 MT Reading Scoresheet'!M109&lt;&gt;"",'G2 MT Reading Scoresheet'!M109,"")</f>
        <v/>
      </c>
      <c r="N109" s="273" t="str">
        <f>IF('G2 MT Reading Scoresheet'!N109&lt;&gt;"",'G2 MT Reading Scoresheet'!N109,"")</f>
        <v/>
      </c>
      <c r="O109" s="273" t="str">
        <f>IF('G2 MT Reading Scoresheet'!O109&lt;&gt;"",'G2 MT Reading Scoresheet'!O109,"")</f>
        <v/>
      </c>
      <c r="P109" s="118" t="str">
        <f>IF('G2 MT Reading Scoresheet'!P109&lt;&gt;"",'G2 MT Reading Scoresheet'!P109,"")</f>
        <v/>
      </c>
      <c r="Q109" s="122" t="str">
        <f>IF('G2 MT Reading Scoresheet'!Q109&lt;&gt;"",'G2 MT Reading Scoresheet'!Q109,"")</f>
        <v/>
      </c>
      <c r="R109" s="273" t="str">
        <f>IF('G2 MT Reading Scoresheet'!R109&lt;&gt;"",'G2 MT Reading Scoresheet'!R109,"")</f>
        <v/>
      </c>
      <c r="S109" s="273" t="str">
        <f>IF('G2 MT Reading Scoresheet'!S109&lt;&gt;"",'G2 MT Reading Scoresheet'!S109,"")</f>
        <v/>
      </c>
      <c r="T109" s="276" t="str">
        <f>IF('G2 MT Reading Scoresheet'!T109&lt;&gt;"",'G2 MT Reading Scoresheet'!T109,"")</f>
        <v/>
      </c>
      <c r="U109" s="87" t="str">
        <f>IF('G2 MT Reading Scoresheet'!U109&lt;&gt;"",'G2 MT Reading Scoresheet'!U109,"")</f>
        <v/>
      </c>
      <c r="V109" s="277"/>
      <c r="Y109" s="221" t="str">
        <f t="shared" si="2"/>
        <v/>
      </c>
    </row>
    <row r="110" spans="1:25" ht="15" thickBot="1" x14ac:dyDescent="0.35">
      <c r="A110" s="6">
        <v>100</v>
      </c>
      <c r="B110" s="119" t="str">
        <f>IF('G2 MT Reading Scoresheet'!B110&lt;&gt;"",'G2 MT Reading Scoresheet'!B110,"")</f>
        <v/>
      </c>
      <c r="C110" s="136" t="str">
        <f>IF('G2 MT Reading Scoresheet'!C110&lt;&gt;"",'G2 MT Reading Scoresheet'!C110,"")</f>
        <v/>
      </c>
      <c r="D110" s="137" t="str">
        <f>IF('G2 MT Reading Scoresheet'!D110&lt;&gt;"",'G2 MT Reading Scoresheet'!D110,"")</f>
        <v/>
      </c>
      <c r="E110" s="138" t="str">
        <f>IF('G2 MT Reading Scoresheet'!E110&lt;&gt;"",'G2 MT Reading Scoresheet'!E110,"")</f>
        <v/>
      </c>
      <c r="F110" s="278" t="str">
        <f>IF('G2 MT Reading Scoresheet'!F110&lt;&gt;"",'G2 MT Reading Scoresheet'!F110,"")</f>
        <v/>
      </c>
      <c r="G110" s="279" t="str">
        <f>IF('G2 MT Reading Scoresheet'!G110&lt;&gt;"",'G2 MT Reading Scoresheet'!G110,"")</f>
        <v/>
      </c>
      <c r="H110" s="104" t="str">
        <f>IF('G2 MT Reading Scoresheet'!H110&lt;&gt;"",'G2 MT Reading Scoresheet'!H110,"")</f>
        <v/>
      </c>
      <c r="I110" s="104" t="str">
        <f>IF('G2 MT Reading Scoresheet'!I110&lt;&gt;"",'G2 MT Reading Scoresheet'!I110,"")</f>
        <v/>
      </c>
      <c r="J110" s="105" t="str">
        <f>IF('G2 MT Reading Scoresheet'!J110&lt;&gt;"",'G2 MT Reading Scoresheet'!J110,"")</f>
        <v/>
      </c>
      <c r="K110" s="280" t="str">
        <f>IF('G2 MT Reading Scoresheet'!K110&lt;&gt;"",'G2 MT Reading Scoresheet'!K110,"")</f>
        <v/>
      </c>
      <c r="L110" s="109" t="str">
        <f>IF('G2 MT Reading Scoresheet'!L110&lt;&gt;"",'G2 MT Reading Scoresheet'!L110,"")</f>
        <v/>
      </c>
      <c r="M110" s="119" t="str">
        <f>IF('G2 MT Reading Scoresheet'!M110&lt;&gt;"",'G2 MT Reading Scoresheet'!M110,"")</f>
        <v/>
      </c>
      <c r="N110" s="104" t="str">
        <f>IF('G2 MT Reading Scoresheet'!N110&lt;&gt;"",'G2 MT Reading Scoresheet'!N110,"")</f>
        <v/>
      </c>
      <c r="O110" s="104" t="str">
        <f>IF('G2 MT Reading Scoresheet'!O110&lt;&gt;"",'G2 MT Reading Scoresheet'!O110,"")</f>
        <v/>
      </c>
      <c r="P110" s="119" t="str">
        <f>IF('G2 MT Reading Scoresheet'!P110&lt;&gt;"",'G2 MT Reading Scoresheet'!P110,"")</f>
        <v/>
      </c>
      <c r="Q110" s="123" t="str">
        <f>IF('G2 MT Reading Scoresheet'!Q110&lt;&gt;"",'G2 MT Reading Scoresheet'!Q110,"")</f>
        <v/>
      </c>
      <c r="R110" s="104" t="str">
        <f>IF('G2 MT Reading Scoresheet'!R110&lt;&gt;"",'G2 MT Reading Scoresheet'!R110,"")</f>
        <v/>
      </c>
      <c r="S110" s="104" t="str">
        <f>IF('G2 MT Reading Scoresheet'!S110&lt;&gt;"",'G2 MT Reading Scoresheet'!S110,"")</f>
        <v/>
      </c>
      <c r="T110" s="105" t="str">
        <f>IF('G2 MT Reading Scoresheet'!T110&lt;&gt;"",'G2 MT Reading Scoresheet'!T110,"")</f>
        <v/>
      </c>
      <c r="U110" s="109" t="str">
        <f>IF('G2 MT Reading Scoresheet'!U110&lt;&gt;"",'G2 MT Reading Scoresheet'!U110,"")</f>
        <v/>
      </c>
      <c r="V110" s="281"/>
      <c r="Y110" s="221" t="str">
        <f t="shared" si="2"/>
        <v/>
      </c>
    </row>
    <row r="111" spans="1:25" ht="14.4" x14ac:dyDescent="0.3"/>
    <row r="112" spans="1:25" ht="14.4" x14ac:dyDescent="0.3"/>
    <row r="113" ht="14.4" x14ac:dyDescent="0.3"/>
    <row r="114" ht="14.4" x14ac:dyDescent="0.3"/>
    <row r="115" ht="14.4" x14ac:dyDescent="0.3"/>
  </sheetData>
  <sheetProtection algorithmName="SHA-512" hashValue="fggO0JOAk3L/rtaIPWUJdtCUb9MbgbhSTR2WP2PqISs20cTnUX8f0JRYeFOHlW72S2PtODcszIDFVixr6w80Cw==" saltValue="hhwLf7sK9ktSukmpZOB0ww==" spinCount="100000" sheet="1" objects="1" scenarios="1" formatColumns="0" formatRows="0" selectLockedCells="1" autoFilter="0"/>
  <autoFilter ref="B10:U10" xr:uid="{76469186-D64B-48AE-9C3E-F701817A280D}">
    <filterColumn colId="12" showButton="0"/>
  </autoFilter>
  <mergeCells count="26">
    <mergeCell ref="A3:B3"/>
    <mergeCell ref="A4:B4"/>
    <mergeCell ref="G4:H4"/>
    <mergeCell ref="A5:B5"/>
    <mergeCell ref="F5:I6"/>
    <mergeCell ref="Q6:T9"/>
    <mergeCell ref="U6:V9"/>
    <mergeCell ref="A7:B7"/>
    <mergeCell ref="D7:E7"/>
    <mergeCell ref="F7:F9"/>
    <mergeCell ref="G7:G9"/>
    <mergeCell ref="H7:H9"/>
    <mergeCell ref="I7:I9"/>
    <mergeCell ref="J5:J9"/>
    <mergeCell ref="P8:P9"/>
    <mergeCell ref="A9:B9"/>
    <mergeCell ref="N10:O10"/>
    <mergeCell ref="D4:E4"/>
    <mergeCell ref="N7:O7"/>
    <mergeCell ref="A8:B8"/>
    <mergeCell ref="K8:K9"/>
    <mergeCell ref="L8:L9"/>
    <mergeCell ref="M8:M9"/>
    <mergeCell ref="N8:O9"/>
    <mergeCell ref="K5:P6"/>
    <mergeCell ref="A6:B6"/>
  </mergeCells>
  <conditionalFormatting sqref="C5">
    <cfRule type="containsText" dxfId="21" priority="7" operator="containsText" text="[enter school school id here]">
      <formula>NOT(ISERROR(SEARCH("[enter school school id here]",C5)))</formula>
    </cfRule>
  </conditionalFormatting>
  <conditionalFormatting sqref="C6">
    <cfRule type="containsText" dxfId="20" priority="8" operator="containsText" text="[enter teacher name here]">
      <formula>NOT(ISERROR(SEARCH("[enter teacher name here]",C6)))</formula>
    </cfRule>
  </conditionalFormatting>
  <conditionalFormatting sqref="C9">
    <cfRule type="containsText" dxfId="19" priority="6" operator="containsText" text="[choose language here]">
      <formula>NOT(ISERROR(SEARCH("[choose language here]",C9)))</formula>
    </cfRule>
  </conditionalFormatting>
  <conditionalFormatting sqref="D9:E9">
    <cfRule type="expression" dxfId="18" priority="9">
      <formula>$X$9=1</formula>
    </cfRule>
  </conditionalFormatting>
  <conditionalFormatting sqref="G11:G110">
    <cfRule type="expression" dxfId="17" priority="13">
      <formula>$F11 &gt; 6</formula>
    </cfRule>
  </conditionalFormatting>
  <conditionalFormatting sqref="H11:H110">
    <cfRule type="expression" dxfId="16" priority="12">
      <formula>$F11 &lt; 7</formula>
    </cfRule>
  </conditionalFormatting>
  <conditionalFormatting sqref="I4">
    <cfRule type="cellIs" dxfId="15" priority="14" operator="notEqual">
      <formula>$F$4</formula>
    </cfRule>
    <cfRule type="cellIs" dxfId="14" priority="18" operator="lessThan">
      <formula>#REF!+#REF!</formula>
    </cfRule>
    <cfRule type="cellIs" dxfId="13" priority="19" operator="lessThan">
      <formula>#REF!+#REF!</formula>
    </cfRule>
  </conditionalFormatting>
  <conditionalFormatting sqref="J11:J110">
    <cfRule type="containsText" dxfId="12" priority="3" operator="containsText" text="Full">
      <formula>NOT(ISERROR(SEARCH("Full",J11)))</formula>
    </cfRule>
  </conditionalFormatting>
  <conditionalFormatting sqref="K11:T110">
    <cfRule type="expression" dxfId="11" priority="10">
      <formula>$J11="Full Refresher"</formula>
    </cfRule>
  </conditionalFormatting>
  <conditionalFormatting sqref="U11:U110">
    <cfRule type="containsText" dxfId="10" priority="1" operator="containsText" text="Grade Level">
      <formula>NOT(ISERROR(SEARCH("Grade Level",U11)))</formula>
    </cfRule>
    <cfRule type="containsText" dxfId="9" priority="2" operator="containsText" text="Emerging">
      <formula>NOT(ISERROR(SEARCH("Emerging",U11)))</formula>
    </cfRule>
    <cfRule type="expression" dxfId="8" priority="11">
      <formula>AND($J11="Grade Ready",#REF!="Full Intervention")</formula>
    </cfRule>
  </conditionalFormatting>
  <dataValidations count="20">
    <dataValidation allowBlank="1" showInputMessage="1" showErrorMessage="1" error="Enter Level between 1 to 4" sqref="U11:V11 U12:U110" xr:uid="{20C5274C-CC4B-4411-946F-DA1BBAB81F52}"/>
    <dataValidation type="whole" allowBlank="1" showInputMessage="1" showErrorMessage="1" error="Enter Number of Miscue" sqref="L11:L110" xr:uid="{12B56AC1-929C-4304-87BF-A181E00A8058}">
      <formula1>0</formula1>
      <formula2>96</formula2>
    </dataValidation>
    <dataValidation type="custom" allowBlank="1" showInputMessage="1" showErrorMessage="1" errorTitle="Error Message" error="Enter value less than or equal to 10_x000a_If Task 1 score is less than 7, Sentences should be left blank or empty." sqref="H11:H110" xr:uid="{B841410D-EDC6-47C2-855E-F16874566AD4}">
      <formula1>AND( $F11 &gt; 6, $H11 &lt;11)</formula1>
    </dataValidation>
    <dataValidation type="whole" allowBlank="1" showInputMessage="1" showErrorMessage="1" error="Enter Answer between 0 to 6" sqref="R11:R110" xr:uid="{F94107AD-ABF7-445D-8851-A1C8C9747671}">
      <formula1>0</formula1>
      <formula2>6</formula2>
    </dataValidation>
    <dataValidation operator="lessThanOrEqual" allowBlank="1" showInputMessage="1" showErrorMessage="1" errorTitle="Error Message" error="Total Number of Words must be less than or equal to 96" sqref="M11:M110" xr:uid="{450EB8B3-B155-4F60-B969-D89F8ACDE175}"/>
    <dataValidation type="whole" allowBlank="1" showInputMessage="1" showErrorMessage="1" errorTitle="Error Message" error="Must not exceed 2 minutes" sqref="N11:N110" xr:uid="{5935040E-6399-4EFD-B4AD-AFEFBE5D982B}">
      <formula1>0</formula1>
      <formula2>2</formula2>
    </dataValidation>
    <dataValidation type="whole" allowBlank="1" showInputMessage="1" showErrorMessage="1" error="Story 1 or 2" sqref="K11:K110" xr:uid="{60C5F193-255A-4698-A852-3BB59ACEA994}">
      <formula1>1</formula1>
      <formula2>2</formula2>
    </dataValidation>
    <dataValidation type="whole" allowBlank="1" showInputMessage="1" showErrorMessage="1" errorTitle="Error Message" error="Number of seconds between 0 to 59" sqref="O11:O110" xr:uid="{67D34F28-3DC4-406A-A127-9F51F1F1C5A9}">
      <formula1>0</formula1>
      <formula2>59</formula2>
    </dataValidation>
    <dataValidation type="whole" allowBlank="1" showInputMessage="1" showErrorMessage="1" error="Enter Leaner Experience from 1 - 5" sqref="S11:S110" xr:uid="{459574AA-3F55-4ACC-9C50-346DDE25330A}">
      <formula1>1</formula1>
      <formula2>5</formula2>
    </dataValidation>
    <dataValidation type="list" allowBlank="1" showInputMessage="1" showErrorMessage="1" error="Enter Level between 1 to 4" sqref="T11:T110" xr:uid="{F658827E-23C9-4C9E-BE76-3CC6E533A743}">
      <formula1>"Level 1, Level 2, Level 3, Level 4"</formula1>
    </dataValidation>
    <dataValidation type="whole" allowBlank="1" showInputMessage="1" showErrorMessage="1" sqref="D6:E6" xr:uid="{44014A53-9A3D-4462-88BB-C28D2F519B3E}">
      <formula1>0</formula1>
      <formula2>100</formula2>
    </dataValidation>
    <dataValidation operator="lessThanOrEqual" allowBlank="1" showInputMessage="1" showErrorMessage="1" sqref="I4" xr:uid="{D627B09B-7709-447A-9B0A-4020DACFE8C4}"/>
    <dataValidation type="textLength" operator="greaterThan" showInputMessage="1" showErrorMessage="1" error="Enter School Name" sqref="C5" xr:uid="{3A686112-8629-461F-91C8-DBD87C0549E1}">
      <formula1>5</formula1>
    </dataValidation>
    <dataValidation type="whole" allowBlank="1" showInputMessage="1" showErrorMessage="1" error="Enter the 6-digit School ID" sqref="A5 C4" xr:uid="{0E1BFA55-773C-4599-B5A1-96EB8AADD750}">
      <formula1>100000</formula1>
      <formula2>999999</formula2>
    </dataValidation>
    <dataValidation allowBlank="1" showInputMessage="1" showErrorMessage="1" prompt="Choose Language here" sqref="G4 C9" xr:uid="{C8B53D76-AD56-42C0-9860-5027E0B2EB38}"/>
    <dataValidation type="whole" allowBlank="1" showInputMessage="1" showErrorMessage="1" error="Enter Score between 0 to 10" sqref="F11:F110" xr:uid="{84DC1DE5-6FBF-4096-A130-A19ADDAF77D6}">
      <formula1>0</formula1>
      <formula2>10</formula2>
    </dataValidation>
    <dataValidation type="date" errorStyle="warning" allowBlank="1" showInputMessage="1" showErrorMessage="1" error="Enter the Date of Assessment in Correct Format (mm/dd/yy)" sqref="E12:E110" xr:uid="{C02B143A-55CE-4A9D-9738-CEE9C63BA322}">
      <formula1>44197</formula1>
      <formula2>55153</formula2>
    </dataValidation>
    <dataValidation type="list" allowBlank="1" showInputMessage="1" showErrorMessage="1" sqref="D12:D110" xr:uid="{AE350350-AC5E-4484-A8FB-8FF4E5C77D42}">
      <formula1>"Male, Female"</formula1>
    </dataValidation>
    <dataValidation allowBlank="1" showInputMessage="1" showErrorMessage="1" error="Total Words per Story must be between 94 to 96" sqref="D9:E9" xr:uid="{7CA560BE-9761-4920-B96B-F9407927AF28}"/>
    <dataValidation type="custom" allowBlank="1" showInputMessage="1" showErrorMessage="1" errorTitle="Error Message" error="Enter value less than equal to 10_x000a_If Task 1 score is greater than 6, Words should be left blank or empty." sqref="G11:G110" xr:uid="{9C575C8B-355C-40CD-A0B2-60B26EC8BF90}">
      <formula1>AND($F11 &lt; 7, $G11 &lt;11)</formula1>
    </dataValidation>
  </dataValidations>
  <pageMargins left="0.7" right="0.7" top="0.75" bottom="0.75" header="0.3"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E4CB5-DA0A-44B9-A550-F7D0779519F7}">
  <sheetPr codeName="Sheet2"/>
  <dimension ref="A1:R108"/>
  <sheetViews>
    <sheetView workbookViewId="0">
      <pane xSplit="3" ySplit="8" topLeftCell="D24" activePane="bottomRight" state="frozen"/>
      <selection pane="topRight" activeCell="D1" sqref="D1"/>
      <selection pane="bottomLeft" activeCell="A9" sqref="A9"/>
      <selection pane="bottomRight" activeCell="C9" sqref="C9"/>
    </sheetView>
  </sheetViews>
  <sheetFormatPr defaultColWidth="8.88671875" defaultRowHeight="14.4" x14ac:dyDescent="0.3"/>
  <cols>
    <col min="1" max="1" width="5.5546875" customWidth="1"/>
    <col min="2" max="2" width="14.6640625" customWidth="1"/>
    <col min="3" max="3" width="30.88671875" customWidth="1"/>
    <col min="4" max="4" width="10.33203125" style="1" customWidth="1"/>
    <col min="5" max="5" width="20.33203125" style="7" customWidth="1"/>
    <col min="6" max="6" width="10" style="7" customWidth="1"/>
    <col min="7" max="7" width="9.5546875" style="7" customWidth="1"/>
    <col min="8" max="8" width="13.5546875" style="7" customWidth="1"/>
    <col min="9" max="9" width="9.44140625" style="7" customWidth="1"/>
    <col min="10" max="10" width="25.6640625" style="1" customWidth="1"/>
    <col min="11" max="11" width="19" style="7" customWidth="1"/>
    <col min="12" max="12" width="9.109375" style="7" customWidth="1"/>
    <col min="13" max="13" width="8.6640625" style="7" customWidth="1"/>
    <col min="14" max="14" width="14.44140625" style="7" customWidth="1"/>
    <col min="15" max="15" width="8.33203125" style="7" customWidth="1"/>
    <col min="16" max="16" width="25.6640625" style="1" customWidth="1"/>
    <col min="17" max="17" width="40.33203125" style="1" customWidth="1"/>
    <col min="18" max="18" width="5.109375" customWidth="1"/>
    <col min="19" max="22" width="8.88671875" customWidth="1"/>
    <col min="23" max="24" width="13.6640625" customWidth="1"/>
    <col min="25" max="25" width="8.88671875" customWidth="1"/>
    <col min="26" max="29" width="13.6640625" customWidth="1"/>
  </cols>
  <sheetData>
    <row r="1" spans="1:18" x14ac:dyDescent="0.3">
      <c r="A1" t="s">
        <v>154</v>
      </c>
    </row>
    <row r="2" spans="1:18" ht="18" customHeight="1" x14ac:dyDescent="0.3"/>
    <row r="4" spans="1:18" ht="25.95" customHeight="1" thickBot="1" x14ac:dyDescent="0.35"/>
    <row r="5" spans="1:18" s="258" customFormat="1" ht="17.399999999999999" customHeight="1" x14ac:dyDescent="0.3">
      <c r="A5" s="342" t="s">
        <v>0</v>
      </c>
      <c r="B5" s="343"/>
      <c r="C5" s="346" t="str">
        <f>'G2 MT Reading Scoresheet'!$C$5</f>
        <v>NELLIE E. BROWN E/S</v>
      </c>
      <c r="D5" s="346"/>
      <c r="E5" s="349" t="s">
        <v>112</v>
      </c>
      <c r="F5" s="349"/>
      <c r="G5" s="349"/>
      <c r="H5" s="349"/>
      <c r="I5" s="349"/>
      <c r="J5" s="349"/>
      <c r="K5" s="349"/>
      <c r="L5" s="349"/>
      <c r="M5" s="349"/>
      <c r="N5" s="349"/>
      <c r="O5" s="349"/>
      <c r="P5" s="349"/>
      <c r="Q5" s="350"/>
    </row>
    <row r="6" spans="1:18" s="258" customFormat="1" ht="18" customHeight="1" x14ac:dyDescent="0.3">
      <c r="A6" s="344" t="s">
        <v>1</v>
      </c>
      <c r="B6" s="345"/>
      <c r="C6" s="347">
        <f>'G2 MT Reading Scoresheet'!C6</f>
        <v>0</v>
      </c>
      <c r="D6" s="347"/>
      <c r="E6" s="348" t="str">
        <f>CONCATENATE("MOTHER TONGUE","(",'G2 MT Reading Scoresheet'!C9,")")</f>
        <v>MOTHER TONGUE(Tagalog)</v>
      </c>
      <c r="F6" s="348"/>
      <c r="G6" s="348"/>
      <c r="H6" s="348"/>
      <c r="I6" s="348"/>
      <c r="J6" s="348"/>
      <c r="K6" s="340" t="s">
        <v>108</v>
      </c>
      <c r="L6" s="340"/>
      <c r="M6" s="340"/>
      <c r="N6" s="340"/>
      <c r="O6" s="340"/>
      <c r="P6" s="340"/>
      <c r="Q6" s="341" t="s">
        <v>8</v>
      </c>
    </row>
    <row r="7" spans="1:18" s="258" customFormat="1" ht="18" customHeight="1" x14ac:dyDescent="0.3">
      <c r="A7" s="344" t="s">
        <v>2</v>
      </c>
      <c r="B7" s="345"/>
      <c r="C7" s="347" t="s">
        <v>3</v>
      </c>
      <c r="D7" s="347"/>
      <c r="E7" s="351" t="s">
        <v>85</v>
      </c>
      <c r="F7" s="351"/>
      <c r="G7" s="351" t="s">
        <v>187</v>
      </c>
      <c r="H7" s="351"/>
      <c r="I7" s="351"/>
      <c r="J7" s="352" t="s">
        <v>103</v>
      </c>
      <c r="K7" s="353" t="s">
        <v>85</v>
      </c>
      <c r="L7" s="353"/>
      <c r="M7" s="337" t="s">
        <v>187</v>
      </c>
      <c r="N7" s="338"/>
      <c r="O7" s="339"/>
      <c r="P7" s="213"/>
      <c r="Q7" s="341"/>
    </row>
    <row r="8" spans="1:18" s="258" customFormat="1" ht="34.200000000000003" customHeight="1" x14ac:dyDescent="0.3">
      <c r="A8" s="13" t="s">
        <v>9</v>
      </c>
      <c r="B8" s="15" t="s">
        <v>34</v>
      </c>
      <c r="C8" s="16" t="s">
        <v>10</v>
      </c>
      <c r="D8" s="14" t="s">
        <v>31</v>
      </c>
      <c r="E8" s="209" t="s">
        <v>179</v>
      </c>
      <c r="F8" s="209" t="s">
        <v>180</v>
      </c>
      <c r="G8" s="209" t="s">
        <v>181</v>
      </c>
      <c r="H8" s="212" t="s">
        <v>182</v>
      </c>
      <c r="I8" s="212" t="s">
        <v>188</v>
      </c>
      <c r="J8" s="352"/>
      <c r="K8" s="208" t="s">
        <v>179</v>
      </c>
      <c r="L8" s="214" t="s">
        <v>180</v>
      </c>
      <c r="M8" s="214" t="s">
        <v>181</v>
      </c>
      <c r="N8" s="214" t="s">
        <v>182</v>
      </c>
      <c r="O8" s="214" t="s">
        <v>188</v>
      </c>
      <c r="P8" s="56" t="s">
        <v>103</v>
      </c>
      <c r="Q8" s="341"/>
    </row>
    <row r="9" spans="1:18" x14ac:dyDescent="0.3">
      <c r="A9" s="43">
        <v>1</v>
      </c>
      <c r="B9" s="49">
        <f>IF('G2 MT Reading Scoresheet'!B11&lt;&gt;"",'G2 MT Reading Scoresheet'!B11,"")</f>
        <v>123456789012</v>
      </c>
      <c r="C9" s="50" t="str">
        <f>IF('G2 MT Reading Scoresheet'!C11&lt;&gt;"",'G2 MT Reading Scoresheet'!C11,"")</f>
        <v>Johnny Lee</v>
      </c>
      <c r="D9" s="51" t="str">
        <f>IF('G2 MT Reading Scoresheet'!D11&lt;&gt;"",'G2 MT Reading Scoresheet'!D11,"")</f>
        <v>Male</v>
      </c>
      <c r="E9" s="210" t="str">
        <f>'G2 MT Reading Scoresheet'!$J11</f>
        <v>Grade Ready</v>
      </c>
      <c r="F9" s="246">
        <f>IF(C9&lt;&gt;"",'G2 MT Reading Scoresheet'!$I11/30,"")</f>
        <v>0.96666666666666667</v>
      </c>
      <c r="G9" s="246">
        <f>IF(AND($C9&lt;&gt;"",$E9&lt;&gt;"Full Refresher"),'G2 MT Reading Scoresheet'!$Q11,"")</f>
        <v>0.96842105263157896</v>
      </c>
      <c r="H9" s="246">
        <f>IF(AND(C9&lt;&gt;"",E9&lt;&gt;"Full Refresher"),'G2 MT Reading Scoresheet'!$R11/6,"")</f>
        <v>0.66666666666666663</v>
      </c>
      <c r="I9" s="210">
        <f>IF(AND(C9&lt;&gt;"",F9&lt;&gt;"Full Refresher"),'G2 MT Reading Scoresheet'!$P11,"")</f>
        <v>46</v>
      </c>
      <c r="J9" s="247" t="str">
        <f>'G2 MT Reading Scoresheet'!$U11</f>
        <v>Transitioning Reader</v>
      </c>
      <c r="K9" s="57" t="str">
        <f>'G2 FIL Reading Scoresheet'!$J11</f>
        <v>Grade Ready</v>
      </c>
      <c r="L9" s="248">
        <f>IF($C9&lt;&gt;"",'G2 FIL Reading Scoresheet'!$I11/30,"")</f>
        <v>0.96666666666666667</v>
      </c>
      <c r="M9" s="248">
        <f>IF(AND($C9&lt;&gt;"",$K9&lt;&gt;"Full Refresher"),'G2 FIL Reading Scoresheet'!$Q11,"")</f>
        <v>0.96842105263157896</v>
      </c>
      <c r="N9" s="248">
        <f>IF(AND($C9&lt;&gt;"",K9&lt;&gt;"Full Refresher"),'G2 FIL Reading Scoresheet'!$R11/6,"")</f>
        <v>0.66666666666666663</v>
      </c>
      <c r="O9" s="57">
        <f>IF(AND(C9&lt;&gt;"",K9&lt;&gt;"Full Refresher"),'G2 FIL Reading Scoresheet'!$P11,"")</f>
        <v>46</v>
      </c>
      <c r="P9" s="249" t="str">
        <f>'G2 FIL Reading Scoresheet'!$U11</f>
        <v>Transitioning Reader</v>
      </c>
      <c r="Q9" s="52" t="str">
        <f>CONCATENATE(IF(ISBLANK('G2 MT Reading Scoresheet'!V11),"",CONCATENATE("MT:",TRIM('G2 MT Reading Scoresheet'!V11)))," ",IF(ISBLANK('G2 FIL Reading Scoresheet'!V11),"",CONCATENATE("FIL:",TRIM('G2 FIL Reading Scoresheet'!V11))))</f>
        <v xml:space="preserve"> </v>
      </c>
      <c r="R9" t="s">
        <v>13</v>
      </c>
    </row>
    <row r="10" spans="1:18" ht="13.95" customHeight="1" x14ac:dyDescent="0.3">
      <c r="A10" s="44">
        <v>2</v>
      </c>
      <c r="B10" s="45">
        <f>IF('G2 MT Reading Scoresheet'!B12&lt;&gt;"",'G2 MT Reading Scoresheet'!B12,"")</f>
        <v>123456789013</v>
      </c>
      <c r="C10" s="46" t="str">
        <f>IF('G2 MT Reading Scoresheet'!C12&lt;&gt;"",'G2 MT Reading Scoresheet'!C12,"")</f>
        <v>Nicolas Santos</v>
      </c>
      <c r="D10" s="47" t="str">
        <f>IF('G2 MT Reading Scoresheet'!D12&lt;&gt;"",'G2 MT Reading Scoresheet'!D12,"")</f>
        <v>Male</v>
      </c>
      <c r="E10" s="210" t="str">
        <f>'G2 MT Reading Scoresheet'!$J12</f>
        <v>Grade Ready</v>
      </c>
      <c r="F10" s="246">
        <f>IF(C10&lt;&gt;"",'G2 MT Reading Scoresheet'!$I12/30,"")</f>
        <v>1</v>
      </c>
      <c r="G10" s="246">
        <f>IF(AND($C10&lt;&gt;"",$E10&lt;&gt;"Full Refresher"),'G2 MT Reading Scoresheet'!$Q12,"")</f>
        <v>1</v>
      </c>
      <c r="H10" s="246">
        <f>IF(AND(C10&lt;&gt;"",E10&lt;&gt;"Full Refresher"),'G2 MT Reading Scoresheet'!$R12/6,"")</f>
        <v>0.66666666666666663</v>
      </c>
      <c r="I10" s="210">
        <f>IF(AND(D10&lt;&gt;"",F10&lt;&gt;"Full Refresher"),'G2 MT Reading Scoresheet'!$P12,"")</f>
        <v>47.5</v>
      </c>
      <c r="J10" s="250" t="str">
        <f>'G2 MT Reading Scoresheet'!$U12</f>
        <v>Transitioning Reader</v>
      </c>
      <c r="K10" s="57" t="str">
        <f>'G2 FIL Reading Scoresheet'!$J12</f>
        <v>Grade Ready</v>
      </c>
      <c r="L10" s="248">
        <f>IF($C10&lt;&gt;"",'G2 FIL Reading Scoresheet'!$I12/30,"")</f>
        <v>1</v>
      </c>
      <c r="M10" s="248">
        <f>IF(AND($C10&lt;&gt;"",$K10&lt;&gt;"Full Refresher"),'G2 FIL Reading Scoresheet'!$Q12,"")</f>
        <v>1</v>
      </c>
      <c r="N10" s="248">
        <f>IF(AND($C10&lt;&gt;"",K10&lt;&gt;"Full Refresher"),'G2 FIL Reading Scoresheet'!$R12/6,"")</f>
        <v>0.66666666666666663</v>
      </c>
      <c r="O10" s="57">
        <f>IF(AND(C10&lt;&gt;"",K10&lt;&gt;"Full Refresher"),'G2 FIL Reading Scoresheet'!$P12,"")</f>
        <v>47.5</v>
      </c>
      <c r="P10" s="251" t="str">
        <f>'G2 FIL Reading Scoresheet'!$U12</f>
        <v>Transitioning Reader</v>
      </c>
      <c r="Q10" s="48" t="str">
        <f>CONCATENATE(IF(ISBLANK('G2 MT Reading Scoresheet'!V12),"",CONCATENATE("MT:",TRIM('G2 MT Reading Scoresheet'!V12)))," ",IF(ISBLANK('G2 FIL Reading Scoresheet'!V12),"",CONCATENATE("FIL:",TRIM('G2 FIL Reading Scoresheet'!V12))))</f>
        <v xml:space="preserve"> </v>
      </c>
    </row>
    <row r="11" spans="1:18" x14ac:dyDescent="0.3">
      <c r="A11" s="43">
        <v>3</v>
      </c>
      <c r="B11" s="49">
        <f>IF('G2 MT Reading Scoresheet'!B13&lt;&gt;"",'G2 MT Reading Scoresheet'!B13,"")</f>
        <v>123456789014</v>
      </c>
      <c r="C11" s="50" t="str">
        <f>IF('G2 MT Reading Scoresheet'!C13&lt;&gt;"",'G2 MT Reading Scoresheet'!C13,"")</f>
        <v>Luffy De Guzman</v>
      </c>
      <c r="D11" s="51" t="str">
        <f>IF('G2 MT Reading Scoresheet'!D13&lt;&gt;"",'G2 MT Reading Scoresheet'!D13,"")</f>
        <v>Male</v>
      </c>
      <c r="E11" s="210" t="str">
        <f>'G2 MT Reading Scoresheet'!$J13</f>
        <v>Full Refresher</v>
      </c>
      <c r="F11" s="246">
        <f>IF(C11&lt;&gt;"",'G2 MT Reading Scoresheet'!$I13/30,"")</f>
        <v>0</v>
      </c>
      <c r="G11" s="246" t="str">
        <f>IF(AND($C11&lt;&gt;"",$E11&lt;&gt;"Full Refresher"),'G2 MT Reading Scoresheet'!$Q13,"")</f>
        <v/>
      </c>
      <c r="H11" s="246" t="str">
        <f>IF(AND(C11&lt;&gt;"",E11&lt;&gt;"Full Refresher"),'G2 MT Reading Scoresheet'!$R13/6,"")</f>
        <v/>
      </c>
      <c r="I11" s="210" t="str">
        <f>IF(AND(D11&lt;&gt;"",F11&lt;&gt;"Full Refresher"),'G2 MT Reading Scoresheet'!$P13,"")</f>
        <v/>
      </c>
      <c r="J11" s="250" t="str">
        <f>'G2 MT Reading Scoresheet'!$U13</f>
        <v>Low Emerging Reader</v>
      </c>
      <c r="K11" s="57" t="str">
        <f>'G2 FIL Reading Scoresheet'!$J13</f>
        <v>Full Refresher</v>
      </c>
      <c r="L11" s="248">
        <f>IF($C11&lt;&gt;"",'G2 FIL Reading Scoresheet'!$I13/30,"")</f>
        <v>0</v>
      </c>
      <c r="M11" s="248" t="str">
        <f>IF(AND($C11&lt;&gt;"",$K11&lt;&gt;"Full Refresher"),'G2 FIL Reading Scoresheet'!$Q13,"")</f>
        <v/>
      </c>
      <c r="N11" s="248" t="str">
        <f>IF(AND($C11&lt;&gt;"",K11&lt;&gt;"Full Refresher"),'G2 FIL Reading Scoresheet'!$R13/6,"")</f>
        <v/>
      </c>
      <c r="O11" s="57" t="str">
        <f>IF(AND(C11&lt;&gt;"",K11&lt;&gt;"Full Refresher"),'G2 FIL Reading Scoresheet'!$P13,"")</f>
        <v/>
      </c>
      <c r="P11" s="251" t="str">
        <f>'G2 FIL Reading Scoresheet'!$U13</f>
        <v>Low Emerging Reader</v>
      </c>
      <c r="Q11" s="52" t="str">
        <f>CONCATENATE(IF(ISBLANK('G2 MT Reading Scoresheet'!V13),"",CONCATENATE("MT:",TRIM('G2 MT Reading Scoresheet'!V13)))," ",IF(ISBLANK('G2 FIL Reading Scoresheet'!V13),"",CONCATENATE("FIL:",TRIM('G2 FIL Reading Scoresheet'!V13))))</f>
        <v xml:space="preserve"> </v>
      </c>
    </row>
    <row r="12" spans="1:18" x14ac:dyDescent="0.3">
      <c r="A12" s="44">
        <v>4</v>
      </c>
      <c r="B12" s="45">
        <f>IF('G2 MT Reading Scoresheet'!B14&lt;&gt;"",'G2 MT Reading Scoresheet'!B14,"")</f>
        <v>123456789015</v>
      </c>
      <c r="C12" s="46" t="str">
        <f>IF('G2 MT Reading Scoresheet'!C14&lt;&gt;"",'G2 MT Reading Scoresheet'!C14,"")</f>
        <v>Zoro Dalisay</v>
      </c>
      <c r="D12" s="47" t="str">
        <f>IF('G2 MT Reading Scoresheet'!D14&lt;&gt;"",'G2 MT Reading Scoresheet'!D14,"")</f>
        <v>Male</v>
      </c>
      <c r="E12" s="210" t="str">
        <f>'G2 MT Reading Scoresheet'!$J14</f>
        <v>Full Refresher</v>
      </c>
      <c r="F12" s="246">
        <f>IF(C12&lt;&gt;"",'G2 MT Reading Scoresheet'!$I14/30,"")</f>
        <v>0</v>
      </c>
      <c r="G12" s="246" t="str">
        <f>IF(AND($C12&lt;&gt;"",$E12&lt;&gt;"Full Refresher"),'G2 MT Reading Scoresheet'!$Q14,"")</f>
        <v/>
      </c>
      <c r="H12" s="246" t="str">
        <f>IF(AND(C12&lt;&gt;"",E12&lt;&gt;"Full Refresher"),'G2 MT Reading Scoresheet'!$R14/6,"")</f>
        <v/>
      </c>
      <c r="I12" s="210" t="str">
        <f>IF(AND(D12&lt;&gt;"",F12&lt;&gt;"Full Refresher"),'G2 MT Reading Scoresheet'!$P14,"")</f>
        <v/>
      </c>
      <c r="J12" s="250" t="str">
        <f>'G2 MT Reading Scoresheet'!$U14</f>
        <v>Low Emerging Reader</v>
      </c>
      <c r="K12" s="57" t="str">
        <f>'G2 FIL Reading Scoresheet'!$J14</f>
        <v>Full Refresher</v>
      </c>
      <c r="L12" s="248">
        <f>IF($C12&lt;&gt;"",'G2 FIL Reading Scoresheet'!$I14/30,"")</f>
        <v>0</v>
      </c>
      <c r="M12" s="248" t="str">
        <f>IF(AND($C12&lt;&gt;"",$K12&lt;&gt;"Full Refresher"),'G2 FIL Reading Scoresheet'!$Q14,"")</f>
        <v/>
      </c>
      <c r="N12" s="248" t="str">
        <f>IF(AND($C12&lt;&gt;"",K12&lt;&gt;"Full Refresher"),'G2 FIL Reading Scoresheet'!$R14/6,"")</f>
        <v/>
      </c>
      <c r="O12" s="57" t="str">
        <f>IF(AND(C12&lt;&gt;"",K12&lt;&gt;"Full Refresher"),'G2 FIL Reading Scoresheet'!$P14,"")</f>
        <v/>
      </c>
      <c r="P12" s="251" t="str">
        <f>'G2 FIL Reading Scoresheet'!$U14</f>
        <v>Low Emerging Reader</v>
      </c>
      <c r="Q12" s="48" t="str">
        <f>CONCATENATE(IF(ISBLANK('G2 MT Reading Scoresheet'!V14),"",CONCATENATE("MT:",TRIM('G2 MT Reading Scoresheet'!V14)))," ",IF(ISBLANK('G2 FIL Reading Scoresheet'!V14),"",CONCATENATE("FIL:",TRIM('G2 FIL Reading Scoresheet'!V14))))</f>
        <v xml:space="preserve"> </v>
      </c>
    </row>
    <row r="13" spans="1:18" x14ac:dyDescent="0.3">
      <c r="A13" s="43">
        <v>5</v>
      </c>
      <c r="B13" s="49">
        <f>IF('G2 MT Reading Scoresheet'!B15&lt;&gt;"",'G2 MT Reading Scoresheet'!B15,"")</f>
        <v>123456789016</v>
      </c>
      <c r="C13" s="50" t="str">
        <f>IF('G2 MT Reading Scoresheet'!C15&lt;&gt;"",'G2 MT Reading Scoresheet'!C15,"")</f>
        <v>Usof Matapang</v>
      </c>
      <c r="D13" s="51" t="str">
        <f>IF('G2 MT Reading Scoresheet'!D15&lt;&gt;"",'G2 MT Reading Scoresheet'!D15,"")</f>
        <v>Male</v>
      </c>
      <c r="E13" s="210" t="str">
        <f>'G2 MT Reading Scoresheet'!$J15</f>
        <v>Full Refresher</v>
      </c>
      <c r="F13" s="246">
        <f>IF(C13&lt;&gt;"",'G2 MT Reading Scoresheet'!$I15/30,"")</f>
        <v>0.33333333333333331</v>
      </c>
      <c r="G13" s="246" t="str">
        <f>IF(AND($C13&lt;&gt;"",$E13&lt;&gt;"Full Refresher"),'G2 MT Reading Scoresheet'!$Q15,"")</f>
        <v/>
      </c>
      <c r="H13" s="246" t="str">
        <f>IF(AND(C13&lt;&gt;"",E13&lt;&gt;"Full Refresher"),'G2 MT Reading Scoresheet'!$R15/6,"")</f>
        <v/>
      </c>
      <c r="I13" s="210" t="str">
        <f>IF(AND(D13&lt;&gt;"",F13&lt;&gt;"Full Refresher"),'G2 MT Reading Scoresheet'!$P15,"")</f>
        <v/>
      </c>
      <c r="J13" s="250" t="str">
        <f>'G2 MT Reading Scoresheet'!$U15</f>
        <v>Low Emerging Reader</v>
      </c>
      <c r="K13" s="57" t="str">
        <f>'G2 FIL Reading Scoresheet'!$J15</f>
        <v>Full Refresher</v>
      </c>
      <c r="L13" s="248">
        <f>IF($C13&lt;&gt;"",'G2 FIL Reading Scoresheet'!$I15/30,"")</f>
        <v>0.33333333333333331</v>
      </c>
      <c r="M13" s="248" t="str">
        <f>IF(AND($C13&lt;&gt;"",$K13&lt;&gt;"Full Refresher"),'G2 FIL Reading Scoresheet'!$Q15,"")</f>
        <v/>
      </c>
      <c r="N13" s="248" t="str">
        <f>IF(AND($C13&lt;&gt;"",K13&lt;&gt;"Full Refresher"),'G2 FIL Reading Scoresheet'!$R15/6,"")</f>
        <v/>
      </c>
      <c r="O13" s="57" t="str">
        <f>IF(AND(C13&lt;&gt;"",K13&lt;&gt;"Full Refresher"),'G2 FIL Reading Scoresheet'!$P15,"")</f>
        <v/>
      </c>
      <c r="P13" s="251" t="str">
        <f>'G2 FIL Reading Scoresheet'!$U15</f>
        <v>Low Emerging Reader</v>
      </c>
      <c r="Q13" s="52" t="str">
        <f>CONCATENATE(IF(ISBLANK('G2 MT Reading Scoresheet'!V15),"",CONCATENATE("MT:",TRIM('G2 MT Reading Scoresheet'!V15)))," ",IF(ISBLANK('G2 FIL Reading Scoresheet'!V15),"",CONCATENATE("FIL:",TRIM('G2 FIL Reading Scoresheet'!V15))))</f>
        <v xml:space="preserve"> </v>
      </c>
    </row>
    <row r="14" spans="1:18" x14ac:dyDescent="0.3">
      <c r="A14" s="44">
        <v>6</v>
      </c>
      <c r="B14" s="45">
        <f>IF('G2 MT Reading Scoresheet'!B16&lt;&gt;"",'G2 MT Reading Scoresheet'!B16,"")</f>
        <v>123456789017</v>
      </c>
      <c r="C14" s="46" t="str">
        <f>IF('G2 MT Reading Scoresheet'!C16&lt;&gt;"",'G2 MT Reading Scoresheet'!C16,"")</f>
        <v>Chopper Sama</v>
      </c>
      <c r="D14" s="47" t="str">
        <f>IF('G2 MT Reading Scoresheet'!D16&lt;&gt;"",'G2 MT Reading Scoresheet'!D16,"")</f>
        <v>Male</v>
      </c>
      <c r="E14" s="210" t="str">
        <f>'G2 MT Reading Scoresheet'!$J16</f>
        <v>Grade Ready</v>
      </c>
      <c r="F14" s="246">
        <f>IF(C14&lt;&gt;"",'G2 MT Reading Scoresheet'!$I16/30,"")</f>
        <v>1</v>
      </c>
      <c r="G14" s="246">
        <f>IF(AND($C14&lt;&gt;"",$E14&lt;&gt;"Full Refresher"),'G2 MT Reading Scoresheet'!$Q16,"")</f>
        <v>1</v>
      </c>
      <c r="H14" s="246">
        <f>IF(AND(C14&lt;&gt;"",E14&lt;&gt;"Full Refresher"),'G2 MT Reading Scoresheet'!$R16/6,"")</f>
        <v>0.16666666666666666</v>
      </c>
      <c r="I14" s="210">
        <f>IF(AND(D14&lt;&gt;"",F14&lt;&gt;"Full Refresher"),'G2 MT Reading Scoresheet'!$P16,"")</f>
        <v>47.5</v>
      </c>
      <c r="J14" s="250" t="str">
        <f>'G2 MT Reading Scoresheet'!$U16</f>
        <v>Transitioning Reader</v>
      </c>
      <c r="K14" s="57" t="str">
        <f>'G2 FIL Reading Scoresheet'!$J16</f>
        <v>Grade Ready</v>
      </c>
      <c r="L14" s="248">
        <f>IF($C14&lt;&gt;"",'G2 FIL Reading Scoresheet'!$I16/30,"")</f>
        <v>1</v>
      </c>
      <c r="M14" s="248">
        <f>IF(AND($C14&lt;&gt;"",$K14&lt;&gt;"Full Refresher"),'G2 FIL Reading Scoresheet'!$Q16,"")</f>
        <v>1</v>
      </c>
      <c r="N14" s="248">
        <f>IF(AND($C14&lt;&gt;"",K14&lt;&gt;"Full Refresher"),'G2 FIL Reading Scoresheet'!$R16/6,"")</f>
        <v>0.16666666666666666</v>
      </c>
      <c r="O14" s="57">
        <f>IF(AND(C14&lt;&gt;"",K14&lt;&gt;"Full Refresher"),'G2 FIL Reading Scoresheet'!$P16,"")</f>
        <v>47.5</v>
      </c>
      <c r="P14" s="251" t="str">
        <f>'G2 FIL Reading Scoresheet'!$U16</f>
        <v>Transitioning Reader</v>
      </c>
      <c r="Q14" s="48" t="str">
        <f>CONCATENATE(IF(ISBLANK('G2 MT Reading Scoresheet'!V16),"",CONCATENATE("MT:",TRIM('G2 MT Reading Scoresheet'!V16)))," ",IF(ISBLANK('G2 FIL Reading Scoresheet'!V16),"",CONCATENATE("FIL:",TRIM('G2 FIL Reading Scoresheet'!V16))))</f>
        <v xml:space="preserve"> </v>
      </c>
    </row>
    <row r="15" spans="1:18" x14ac:dyDescent="0.3">
      <c r="A15" s="43">
        <v>7</v>
      </c>
      <c r="B15" s="49">
        <f>IF('G2 MT Reading Scoresheet'!B17&lt;&gt;"",'G2 MT Reading Scoresheet'!B17,"")</f>
        <v>123456789018</v>
      </c>
      <c r="C15" s="50" t="str">
        <f>IF('G2 MT Reading Scoresheet'!C17&lt;&gt;"",'G2 MT Reading Scoresheet'!C17,"")</f>
        <v>Justin Barber</v>
      </c>
      <c r="D15" s="51" t="str">
        <f>IF('G2 MT Reading Scoresheet'!D17&lt;&gt;"",'G2 MT Reading Scoresheet'!D17,"")</f>
        <v>Male</v>
      </c>
      <c r="E15" s="210" t="str">
        <f>'G2 MT Reading Scoresheet'!$J17</f>
        <v>Full Refresher</v>
      </c>
      <c r="F15" s="246">
        <f>IF(C15&lt;&gt;"",'G2 MT Reading Scoresheet'!$I17/30,"")</f>
        <v>0</v>
      </c>
      <c r="G15" s="246" t="str">
        <f>IF(AND($C15&lt;&gt;"",$E15&lt;&gt;"Full Refresher"),'G2 MT Reading Scoresheet'!$Q17,"")</f>
        <v/>
      </c>
      <c r="H15" s="246" t="str">
        <f>IF(AND(C15&lt;&gt;"",E15&lt;&gt;"Full Refresher"),'G2 MT Reading Scoresheet'!$R17/6,"")</f>
        <v/>
      </c>
      <c r="I15" s="210" t="str">
        <f>IF(AND(D15&lt;&gt;"",F15&lt;&gt;"Full Refresher"),'G2 MT Reading Scoresheet'!$P17,"")</f>
        <v/>
      </c>
      <c r="J15" s="250" t="str">
        <f>'G2 MT Reading Scoresheet'!$U17</f>
        <v>Low Emerging Reader</v>
      </c>
      <c r="K15" s="57" t="str">
        <f>'G2 FIL Reading Scoresheet'!$J17</f>
        <v>Full Refresher</v>
      </c>
      <c r="L15" s="248">
        <f>IF($C15&lt;&gt;"",'G2 FIL Reading Scoresheet'!$I17/30,"")</f>
        <v>0</v>
      </c>
      <c r="M15" s="248" t="str">
        <f>IF(AND($C15&lt;&gt;"",$K15&lt;&gt;"Full Refresher"),'G2 FIL Reading Scoresheet'!$Q17,"")</f>
        <v/>
      </c>
      <c r="N15" s="248" t="str">
        <f>IF(AND($C15&lt;&gt;"",K15&lt;&gt;"Full Refresher"),'G2 FIL Reading Scoresheet'!$R17/6,"")</f>
        <v/>
      </c>
      <c r="O15" s="57" t="str">
        <f>IF(AND(C15&lt;&gt;"",K15&lt;&gt;"Full Refresher"),'G2 FIL Reading Scoresheet'!$P17,"")</f>
        <v/>
      </c>
      <c r="P15" s="251" t="str">
        <f>'G2 FIL Reading Scoresheet'!$U17</f>
        <v>Low Emerging Reader</v>
      </c>
      <c r="Q15" s="52" t="str">
        <f>CONCATENATE(IF(ISBLANK('G2 MT Reading Scoresheet'!V17),"",CONCATENATE("MT:",TRIM('G2 MT Reading Scoresheet'!V17)))," ",IF(ISBLANK('G2 FIL Reading Scoresheet'!V17),"",CONCATENATE("FIL:",TRIM('G2 FIL Reading Scoresheet'!V17))))</f>
        <v xml:space="preserve"> </v>
      </c>
    </row>
    <row r="16" spans="1:18" x14ac:dyDescent="0.3">
      <c r="A16" s="44">
        <v>8</v>
      </c>
      <c r="B16" s="45">
        <f>IF('G2 MT Reading Scoresheet'!B18&lt;&gt;"",'G2 MT Reading Scoresheet'!B18,"")</f>
        <v>123456789019</v>
      </c>
      <c r="C16" s="46" t="str">
        <f>IF('G2 MT Reading Scoresheet'!C18&lt;&gt;"",'G2 MT Reading Scoresheet'!C18,"")</f>
        <v>Alex Lopez</v>
      </c>
      <c r="D16" s="47" t="str">
        <f>IF('G2 MT Reading Scoresheet'!D18&lt;&gt;"",'G2 MT Reading Scoresheet'!D18,"")</f>
        <v>Male</v>
      </c>
      <c r="E16" s="210" t="str">
        <f>'G2 MT Reading Scoresheet'!$J18</f>
        <v>Grade Ready</v>
      </c>
      <c r="F16" s="246">
        <f>IF(C16&lt;&gt;"",'G2 MT Reading Scoresheet'!$I18/30,"")</f>
        <v>0.93333333333333335</v>
      </c>
      <c r="G16" s="246">
        <f>IF(AND($C16&lt;&gt;"",$E16&lt;&gt;"Full Refresher"),'G2 MT Reading Scoresheet'!$Q18,"")</f>
        <v>0.95789473684210524</v>
      </c>
      <c r="H16" s="246">
        <f>IF(AND(C16&lt;&gt;"",E16&lt;&gt;"Full Refresher"),'G2 MT Reading Scoresheet'!$R18/6,"")</f>
        <v>0.16666666666666666</v>
      </c>
      <c r="I16" s="210">
        <f>IF(AND(D16&lt;&gt;"",F16&lt;&gt;"Full Refresher"),'G2 MT Reading Scoresheet'!$P18,"")</f>
        <v>45.5</v>
      </c>
      <c r="J16" s="250" t="str">
        <f>'G2 MT Reading Scoresheet'!$U18</f>
        <v>Transitioning Reader</v>
      </c>
      <c r="K16" s="57" t="str">
        <f>'G2 FIL Reading Scoresheet'!$J18</f>
        <v>Grade Ready</v>
      </c>
      <c r="L16" s="248">
        <f>IF($C16&lt;&gt;"",'G2 FIL Reading Scoresheet'!$I18/30,"")</f>
        <v>0.93333333333333335</v>
      </c>
      <c r="M16" s="248">
        <f>IF(AND($C16&lt;&gt;"",$K16&lt;&gt;"Full Refresher"),'G2 FIL Reading Scoresheet'!$Q18,"")</f>
        <v>0.95789473684210524</v>
      </c>
      <c r="N16" s="248">
        <f>IF(AND($C16&lt;&gt;"",K16&lt;&gt;"Full Refresher"),'G2 FIL Reading Scoresheet'!$R18/6,"")</f>
        <v>0.16666666666666666</v>
      </c>
      <c r="O16" s="57">
        <f>IF(AND(C16&lt;&gt;"",K16&lt;&gt;"Full Refresher"),'G2 FIL Reading Scoresheet'!$P18,"")</f>
        <v>45.5</v>
      </c>
      <c r="P16" s="251" t="str">
        <f>'G2 FIL Reading Scoresheet'!$U18</f>
        <v>Transitioning Reader</v>
      </c>
      <c r="Q16" s="48" t="str">
        <f>CONCATENATE(IF(ISBLANK('G2 MT Reading Scoresheet'!V18),"",CONCATENATE("MT:",TRIM('G2 MT Reading Scoresheet'!V18)))," ",IF(ISBLANK('G2 FIL Reading Scoresheet'!V18),"",CONCATENATE("FIL:",TRIM('G2 FIL Reading Scoresheet'!V18))))</f>
        <v xml:space="preserve"> </v>
      </c>
    </row>
    <row r="17" spans="1:17" x14ac:dyDescent="0.3">
      <c r="A17" s="43">
        <v>9</v>
      </c>
      <c r="B17" s="49">
        <f>IF('G2 MT Reading Scoresheet'!B19&lt;&gt;"",'G2 MT Reading Scoresheet'!B19,"")</f>
        <v>123456789020</v>
      </c>
      <c r="C17" s="50" t="str">
        <f>IF('G2 MT Reading Scoresheet'!C19&lt;&gt;"",'G2 MT Reading Scoresheet'!C19,"")</f>
        <v>Ethan Reyes</v>
      </c>
      <c r="D17" s="51" t="str">
        <f>IF('G2 MT Reading Scoresheet'!D19&lt;&gt;"",'G2 MT Reading Scoresheet'!D19,"")</f>
        <v>Male</v>
      </c>
      <c r="E17" s="210" t="str">
        <f>'G2 MT Reading Scoresheet'!$J19</f>
        <v>Grade Ready</v>
      </c>
      <c r="F17" s="246">
        <f>IF(C17&lt;&gt;"",'G2 MT Reading Scoresheet'!$I19/30,"")</f>
        <v>0.9</v>
      </c>
      <c r="G17" s="246">
        <f>IF(AND($C17&lt;&gt;"",$E17&lt;&gt;"Full Refresher"),'G2 MT Reading Scoresheet'!$Q19,"")</f>
        <v>0.93684210526315792</v>
      </c>
      <c r="H17" s="246">
        <f>IF(AND(C17&lt;&gt;"",E17&lt;&gt;"Full Refresher"),'G2 MT Reading Scoresheet'!$R19/6,"")</f>
        <v>0</v>
      </c>
      <c r="I17" s="210">
        <f>IF(AND(D17&lt;&gt;"",F17&lt;&gt;"Full Refresher"),'G2 MT Reading Scoresheet'!$P19,"")</f>
        <v>44.5</v>
      </c>
      <c r="J17" s="250" t="str">
        <f>'G2 MT Reading Scoresheet'!$U19</f>
        <v>Transitioning Reader</v>
      </c>
      <c r="K17" s="57" t="str">
        <f>'G2 FIL Reading Scoresheet'!$J19</f>
        <v>Grade Ready</v>
      </c>
      <c r="L17" s="248">
        <f>IF($C17&lt;&gt;"",'G2 FIL Reading Scoresheet'!$I19/30,"")</f>
        <v>0.9</v>
      </c>
      <c r="M17" s="248">
        <f>IF(AND($C17&lt;&gt;"",$K17&lt;&gt;"Full Refresher"),'G2 FIL Reading Scoresheet'!$Q19,"")</f>
        <v>0.93684210526315792</v>
      </c>
      <c r="N17" s="248">
        <f>IF(AND($C17&lt;&gt;"",K17&lt;&gt;"Full Refresher"),'G2 FIL Reading Scoresheet'!$R19/6,"")</f>
        <v>0</v>
      </c>
      <c r="O17" s="57">
        <f>IF(AND(C17&lt;&gt;"",K17&lt;&gt;"Full Refresher"),'G2 FIL Reading Scoresheet'!$P19,"")</f>
        <v>44.5</v>
      </c>
      <c r="P17" s="251" t="str">
        <f>'G2 FIL Reading Scoresheet'!$U19</f>
        <v>Transitioning Reader</v>
      </c>
      <c r="Q17" s="52" t="str">
        <f>CONCATENATE(IF(ISBLANK('G2 MT Reading Scoresheet'!V19),"",CONCATENATE("MT:",TRIM('G2 MT Reading Scoresheet'!V19)))," ",IF(ISBLANK('G2 FIL Reading Scoresheet'!V19),"",CONCATENATE("FIL:",TRIM('G2 FIL Reading Scoresheet'!V19))))</f>
        <v xml:space="preserve"> </v>
      </c>
    </row>
    <row r="18" spans="1:17" x14ac:dyDescent="0.3">
      <c r="A18" s="44">
        <v>10</v>
      </c>
      <c r="B18" s="45">
        <f>IF('G2 MT Reading Scoresheet'!B20&lt;&gt;"",'G2 MT Reading Scoresheet'!B20,"")</f>
        <v>123456789021</v>
      </c>
      <c r="C18" s="46" t="str">
        <f>IF('G2 MT Reading Scoresheet'!C20&lt;&gt;"",'G2 MT Reading Scoresheet'!C20,"")</f>
        <v>Caleb Santos</v>
      </c>
      <c r="D18" s="47" t="str">
        <f>IF('G2 MT Reading Scoresheet'!D20&lt;&gt;"",'G2 MT Reading Scoresheet'!D20,"")</f>
        <v>Male</v>
      </c>
      <c r="E18" s="210" t="str">
        <f>'G2 MT Reading Scoresheet'!$J20</f>
        <v>Grade Ready</v>
      </c>
      <c r="F18" s="246">
        <f>IF(C18&lt;&gt;"",'G2 MT Reading Scoresheet'!$I20/30,"")</f>
        <v>1</v>
      </c>
      <c r="G18" s="246">
        <f>IF(AND($C18&lt;&gt;"",$E18&lt;&gt;"Full Refresher"),'G2 MT Reading Scoresheet'!$Q20,"")</f>
        <v>1</v>
      </c>
      <c r="H18" s="246">
        <f>IF(AND(C18&lt;&gt;"",E18&lt;&gt;"Full Refresher"),'G2 MT Reading Scoresheet'!$R20/6,"")</f>
        <v>0.33333333333333331</v>
      </c>
      <c r="I18" s="210">
        <f>IF(AND(D18&lt;&gt;"",F18&lt;&gt;"Full Refresher"),'G2 MT Reading Scoresheet'!$P20,"")</f>
        <v>47.5</v>
      </c>
      <c r="J18" s="250" t="str">
        <f>'G2 MT Reading Scoresheet'!$U20</f>
        <v>Transitioning Reader</v>
      </c>
      <c r="K18" s="57" t="str">
        <f>'G2 FIL Reading Scoresheet'!$J20</f>
        <v>Grade Ready</v>
      </c>
      <c r="L18" s="248">
        <f>IF($C18&lt;&gt;"",'G2 FIL Reading Scoresheet'!$I20/30,"")</f>
        <v>1</v>
      </c>
      <c r="M18" s="248">
        <f>IF(AND($C18&lt;&gt;"",$K18&lt;&gt;"Full Refresher"),'G2 FIL Reading Scoresheet'!$Q20,"")</f>
        <v>1</v>
      </c>
      <c r="N18" s="248">
        <f>IF(AND($C18&lt;&gt;"",K18&lt;&gt;"Full Refresher"),'G2 FIL Reading Scoresheet'!$R20/6,"")</f>
        <v>0.33333333333333331</v>
      </c>
      <c r="O18" s="57">
        <f>IF(AND(C18&lt;&gt;"",K18&lt;&gt;"Full Refresher"),'G2 FIL Reading Scoresheet'!$P20,"")</f>
        <v>47.5</v>
      </c>
      <c r="P18" s="251" t="str">
        <f>'G2 FIL Reading Scoresheet'!$U20</f>
        <v>Transitioning Reader</v>
      </c>
      <c r="Q18" s="48" t="str">
        <f>CONCATENATE(IF(ISBLANK('G2 MT Reading Scoresheet'!V20),"",CONCATENATE("MT:",TRIM('G2 MT Reading Scoresheet'!V20)))," ",IF(ISBLANK('G2 FIL Reading Scoresheet'!V20),"",CONCATENATE("FIL:",TRIM('G2 FIL Reading Scoresheet'!V20))))</f>
        <v xml:space="preserve"> </v>
      </c>
    </row>
    <row r="19" spans="1:17" x14ac:dyDescent="0.3">
      <c r="A19" s="43">
        <v>11</v>
      </c>
      <c r="B19" s="49">
        <f>IF('G2 MT Reading Scoresheet'!B21&lt;&gt;"",'G2 MT Reading Scoresheet'!B21,"")</f>
        <v>123456789022</v>
      </c>
      <c r="C19" s="50" t="str">
        <f>IF('G2 MT Reading Scoresheet'!C21&lt;&gt;"",'G2 MT Reading Scoresheet'!C21,"")</f>
        <v>Noah Villanueva</v>
      </c>
      <c r="D19" s="51" t="str">
        <f>IF('G2 MT Reading Scoresheet'!D21&lt;&gt;"",'G2 MT Reading Scoresheet'!D21,"")</f>
        <v>Male</v>
      </c>
      <c r="E19" s="210" t="str">
        <f>'G2 MT Reading Scoresheet'!$J21</f>
        <v>Full Refresher</v>
      </c>
      <c r="F19" s="246">
        <f>IF(C19&lt;&gt;"",'G2 MT Reading Scoresheet'!$I21/30,"")</f>
        <v>0</v>
      </c>
      <c r="G19" s="246" t="str">
        <f>IF(AND($C19&lt;&gt;"",$E19&lt;&gt;"Full Refresher"),'G2 MT Reading Scoresheet'!$Q21,"")</f>
        <v/>
      </c>
      <c r="H19" s="246" t="str">
        <f>IF(AND(C19&lt;&gt;"",E19&lt;&gt;"Full Refresher"),'G2 MT Reading Scoresheet'!$R21/6,"")</f>
        <v/>
      </c>
      <c r="I19" s="210" t="str">
        <f>IF(AND(D19&lt;&gt;"",F19&lt;&gt;"Full Refresher"),'G2 MT Reading Scoresheet'!$P21,"")</f>
        <v/>
      </c>
      <c r="J19" s="250" t="str">
        <f>'G2 MT Reading Scoresheet'!$U21</f>
        <v>Low Emerging Reader</v>
      </c>
      <c r="K19" s="57" t="str">
        <f>'G2 FIL Reading Scoresheet'!$J21</f>
        <v>Full Refresher</v>
      </c>
      <c r="L19" s="248">
        <f>IF($C19&lt;&gt;"",'G2 FIL Reading Scoresheet'!$I21/30,"")</f>
        <v>0</v>
      </c>
      <c r="M19" s="248" t="str">
        <f>IF(AND($C19&lt;&gt;"",$K19&lt;&gt;"Full Refresher"),'G2 FIL Reading Scoresheet'!$Q21,"")</f>
        <v/>
      </c>
      <c r="N19" s="248" t="str">
        <f>IF(AND($C19&lt;&gt;"",K19&lt;&gt;"Full Refresher"),'G2 FIL Reading Scoresheet'!$R21/6,"")</f>
        <v/>
      </c>
      <c r="O19" s="57" t="str">
        <f>IF(AND(C19&lt;&gt;"",K19&lt;&gt;"Full Refresher"),'G2 FIL Reading Scoresheet'!$P21,"")</f>
        <v/>
      </c>
      <c r="P19" s="251" t="str">
        <f>'G2 FIL Reading Scoresheet'!$U21</f>
        <v>Low Emerging Reader</v>
      </c>
      <c r="Q19" s="52" t="str">
        <f>CONCATENATE(IF(ISBLANK('G2 MT Reading Scoresheet'!V21),"",CONCATENATE("MT:",TRIM('G2 MT Reading Scoresheet'!V21)))," ",IF(ISBLANK('G2 FIL Reading Scoresheet'!V21),"",CONCATENATE("FIL:",TRIM('G2 FIL Reading Scoresheet'!V21))))</f>
        <v xml:space="preserve"> </v>
      </c>
    </row>
    <row r="20" spans="1:17" x14ac:dyDescent="0.3">
      <c r="A20" s="44">
        <v>12</v>
      </c>
      <c r="B20" s="45">
        <f>IF('G2 MT Reading Scoresheet'!B22&lt;&gt;"",'G2 MT Reading Scoresheet'!B22,"")</f>
        <v>123456789023</v>
      </c>
      <c r="C20" s="46" t="str">
        <f>IF('G2 MT Reading Scoresheet'!C22&lt;&gt;"",'G2 MT Reading Scoresheet'!C22,"")</f>
        <v>Daniel Navarro</v>
      </c>
      <c r="D20" s="47" t="str">
        <f>IF('G2 MT Reading Scoresheet'!D22&lt;&gt;"",'G2 MT Reading Scoresheet'!D22,"")</f>
        <v>Male</v>
      </c>
      <c r="E20" s="210" t="str">
        <f>'G2 MT Reading Scoresheet'!$J22</f>
        <v>Full Refresher</v>
      </c>
      <c r="F20" s="246">
        <f>IF(C20&lt;&gt;"",'G2 MT Reading Scoresheet'!$I22/30,"")</f>
        <v>0</v>
      </c>
      <c r="G20" s="246" t="str">
        <f>IF(AND($C20&lt;&gt;"",$E20&lt;&gt;"Full Refresher"),'G2 MT Reading Scoresheet'!$Q22,"")</f>
        <v/>
      </c>
      <c r="H20" s="246" t="str">
        <f>IF(AND(C20&lt;&gt;"",E20&lt;&gt;"Full Refresher"),'G2 MT Reading Scoresheet'!$R22/6,"")</f>
        <v/>
      </c>
      <c r="I20" s="210" t="str">
        <f>IF(AND(D20&lt;&gt;"",F20&lt;&gt;"Full Refresher"),'G2 MT Reading Scoresheet'!$P22,"")</f>
        <v/>
      </c>
      <c r="J20" s="250" t="str">
        <f>'G2 MT Reading Scoresheet'!$U22</f>
        <v>Low Emerging Reader</v>
      </c>
      <c r="K20" s="57" t="str">
        <f>'G2 FIL Reading Scoresheet'!$J22</f>
        <v>Full Refresher</v>
      </c>
      <c r="L20" s="248">
        <f>IF($C20&lt;&gt;"",'G2 FIL Reading Scoresheet'!$I22/30,"")</f>
        <v>0</v>
      </c>
      <c r="M20" s="248" t="str">
        <f>IF(AND($C20&lt;&gt;"",$K20&lt;&gt;"Full Refresher"),'G2 FIL Reading Scoresheet'!$Q22,"")</f>
        <v/>
      </c>
      <c r="N20" s="248" t="str">
        <f>IF(AND($C20&lt;&gt;"",K20&lt;&gt;"Full Refresher"),'G2 FIL Reading Scoresheet'!$R22/6,"")</f>
        <v/>
      </c>
      <c r="O20" s="57" t="str">
        <f>IF(AND(C20&lt;&gt;"",K20&lt;&gt;"Full Refresher"),'G2 FIL Reading Scoresheet'!$P22,"")</f>
        <v/>
      </c>
      <c r="P20" s="251" t="str">
        <f>'G2 FIL Reading Scoresheet'!$U22</f>
        <v>Low Emerging Reader</v>
      </c>
      <c r="Q20" s="48" t="str">
        <f>CONCATENATE(IF(ISBLANK('G2 MT Reading Scoresheet'!V22),"",CONCATENATE("MT:",TRIM('G2 MT Reading Scoresheet'!V22)))," ",IF(ISBLANK('G2 FIL Reading Scoresheet'!V22),"",CONCATENATE("FIL:",TRIM('G2 FIL Reading Scoresheet'!V22))))</f>
        <v xml:space="preserve"> </v>
      </c>
    </row>
    <row r="21" spans="1:17" x14ac:dyDescent="0.3">
      <c r="A21" s="43">
        <v>13</v>
      </c>
      <c r="B21" s="49">
        <f>IF('G2 MT Reading Scoresheet'!B23&lt;&gt;"",'G2 MT Reading Scoresheet'!B23,"")</f>
        <v>123456789024</v>
      </c>
      <c r="C21" s="50" t="str">
        <f>IF('G2 MT Reading Scoresheet'!C23&lt;&gt;"",'G2 MT Reading Scoresheet'!C23,"")</f>
        <v>Xavier Ramos</v>
      </c>
      <c r="D21" s="51" t="str">
        <f>IF('G2 MT Reading Scoresheet'!D23&lt;&gt;"",'G2 MT Reading Scoresheet'!D23,"")</f>
        <v>Male</v>
      </c>
      <c r="E21" s="210" t="str">
        <f>'G2 MT Reading Scoresheet'!$J23</f>
        <v>Light Refresher</v>
      </c>
      <c r="F21" s="246">
        <f>IF(C21&lt;&gt;"",'G2 MT Reading Scoresheet'!$I23/30,"")</f>
        <v>0.83333333333333337</v>
      </c>
      <c r="G21" s="246">
        <f>IF(AND($C21&lt;&gt;"",$E21&lt;&gt;"Full Refresher"),'G2 MT Reading Scoresheet'!$Q23,"")</f>
        <v>0.77894736842105261</v>
      </c>
      <c r="H21" s="246">
        <f>IF(AND(C21&lt;&gt;"",E21&lt;&gt;"Full Refresher"),'G2 MT Reading Scoresheet'!$R23/6,"")</f>
        <v>0.16666666666666666</v>
      </c>
      <c r="I21" s="210">
        <f>IF(AND(D21&lt;&gt;"",F21&lt;&gt;"Full Refresher"),'G2 MT Reading Scoresheet'!$P23,"")</f>
        <v>37</v>
      </c>
      <c r="J21" s="250" t="str">
        <f>'G2 MT Reading Scoresheet'!$U23</f>
        <v>Transitioning Reader</v>
      </c>
      <c r="K21" s="57" t="str">
        <f>'G2 FIL Reading Scoresheet'!$J23</f>
        <v>Light Refresher</v>
      </c>
      <c r="L21" s="248">
        <f>IF($C21&lt;&gt;"",'G2 FIL Reading Scoresheet'!$I23/30,"")</f>
        <v>0.83333333333333337</v>
      </c>
      <c r="M21" s="248">
        <f>IF(AND($C21&lt;&gt;"",$K21&lt;&gt;"Full Refresher"),'G2 FIL Reading Scoresheet'!$Q23,"")</f>
        <v>0.77894736842105261</v>
      </c>
      <c r="N21" s="248">
        <f>IF(AND($C21&lt;&gt;"",K21&lt;&gt;"Full Refresher"),'G2 FIL Reading Scoresheet'!$R23/6,"")</f>
        <v>0.16666666666666666</v>
      </c>
      <c r="O21" s="57">
        <f>IF(AND(C21&lt;&gt;"",K21&lt;&gt;"Full Refresher"),'G2 FIL Reading Scoresheet'!$P23,"")</f>
        <v>37</v>
      </c>
      <c r="P21" s="251" t="str">
        <f>'G2 FIL Reading Scoresheet'!$U23</f>
        <v>Transitioning Reader</v>
      </c>
      <c r="Q21" s="52" t="str">
        <f>CONCATENATE(IF(ISBLANK('G2 MT Reading Scoresheet'!V23),"",CONCATENATE("MT:",TRIM('G2 MT Reading Scoresheet'!V23)))," ",IF(ISBLANK('G2 FIL Reading Scoresheet'!V23),"",CONCATENATE("FIL:",TRIM('G2 FIL Reading Scoresheet'!V23))))</f>
        <v xml:space="preserve"> </v>
      </c>
    </row>
    <row r="22" spans="1:17" x14ac:dyDescent="0.3">
      <c r="A22" s="44">
        <v>14</v>
      </c>
      <c r="B22" s="45">
        <f>IF('G2 MT Reading Scoresheet'!B24&lt;&gt;"",'G2 MT Reading Scoresheet'!B24,"")</f>
        <v>123456789025</v>
      </c>
      <c r="C22" s="46" t="str">
        <f>IF('G2 MT Reading Scoresheet'!C24&lt;&gt;"",'G2 MT Reading Scoresheet'!C24,"")</f>
        <v>Sophia Garcia</v>
      </c>
      <c r="D22" s="47" t="str">
        <f>IF('G2 MT Reading Scoresheet'!D24&lt;&gt;"",'G2 MT Reading Scoresheet'!D24,"")</f>
        <v>Female</v>
      </c>
      <c r="E22" s="210" t="str">
        <f>'G2 MT Reading Scoresheet'!$J24</f>
        <v>Full Refresher</v>
      </c>
      <c r="F22" s="246">
        <f>IF(C22&lt;&gt;"",'G2 MT Reading Scoresheet'!$I24/30,"")</f>
        <v>0</v>
      </c>
      <c r="G22" s="246" t="str">
        <f>IF(AND($C22&lt;&gt;"",$E22&lt;&gt;"Full Refresher"),'G2 MT Reading Scoresheet'!$Q24,"")</f>
        <v/>
      </c>
      <c r="H22" s="246" t="str">
        <f>IF(AND(C22&lt;&gt;"",E22&lt;&gt;"Full Refresher"),'G2 MT Reading Scoresheet'!$R24/6,"")</f>
        <v/>
      </c>
      <c r="I22" s="210" t="str">
        <f>IF(AND(D22&lt;&gt;"",F22&lt;&gt;"Full Refresher"),'G2 MT Reading Scoresheet'!$P24,"")</f>
        <v/>
      </c>
      <c r="J22" s="250" t="str">
        <f>'G2 MT Reading Scoresheet'!$U24</f>
        <v>Low Emerging Reader</v>
      </c>
      <c r="K22" s="57" t="str">
        <f>'G2 FIL Reading Scoresheet'!$J24</f>
        <v>Full Refresher</v>
      </c>
      <c r="L22" s="248">
        <f>IF($C22&lt;&gt;"",'G2 FIL Reading Scoresheet'!$I24/30,"")</f>
        <v>0</v>
      </c>
      <c r="M22" s="248" t="str">
        <f>IF(AND($C22&lt;&gt;"",$K22&lt;&gt;"Full Refresher"),'G2 FIL Reading Scoresheet'!$Q24,"")</f>
        <v/>
      </c>
      <c r="N22" s="248" t="str">
        <f>IF(AND($C22&lt;&gt;"",K22&lt;&gt;"Full Refresher"),'G2 FIL Reading Scoresheet'!$R24/6,"")</f>
        <v/>
      </c>
      <c r="O22" s="57" t="str">
        <f>IF(AND(C22&lt;&gt;"",K22&lt;&gt;"Full Refresher"),'G2 FIL Reading Scoresheet'!$P24,"")</f>
        <v/>
      </c>
      <c r="P22" s="251" t="str">
        <f>'G2 FIL Reading Scoresheet'!$U24</f>
        <v>Low Emerging Reader</v>
      </c>
      <c r="Q22" s="48" t="str">
        <f>CONCATENATE(IF(ISBLANK('G2 MT Reading Scoresheet'!V24),"",CONCATENATE("MT:",TRIM('G2 MT Reading Scoresheet'!V24)))," ",IF(ISBLANK('G2 FIL Reading Scoresheet'!V24),"",CONCATENATE("FIL:",TRIM('G2 FIL Reading Scoresheet'!V24))))</f>
        <v xml:space="preserve"> </v>
      </c>
    </row>
    <row r="23" spans="1:17" x14ac:dyDescent="0.3">
      <c r="A23" s="43">
        <v>15</v>
      </c>
      <c r="B23" s="49">
        <f>IF('G2 MT Reading Scoresheet'!B25&lt;&gt;"",'G2 MT Reading Scoresheet'!B25,"")</f>
        <v>123456789026</v>
      </c>
      <c r="C23" s="50" t="str">
        <f>IF('G2 MT Reading Scoresheet'!C25&lt;&gt;"",'G2 MT Reading Scoresheet'!C25,"")</f>
        <v>Isabella Torres</v>
      </c>
      <c r="D23" s="51" t="str">
        <f>IF('G2 MT Reading Scoresheet'!D25&lt;&gt;"",'G2 MT Reading Scoresheet'!D25,"")</f>
        <v>Female</v>
      </c>
      <c r="E23" s="210" t="str">
        <f>'G2 MT Reading Scoresheet'!$J25</f>
        <v>Full Refresher</v>
      </c>
      <c r="F23" s="246">
        <f>IF(C23&lt;&gt;"",'G2 MT Reading Scoresheet'!$I25/30,"")</f>
        <v>0</v>
      </c>
      <c r="G23" s="246" t="str">
        <f>IF(AND($C23&lt;&gt;"",$E23&lt;&gt;"Full Refresher"),'G2 MT Reading Scoresheet'!$Q25,"")</f>
        <v/>
      </c>
      <c r="H23" s="246" t="str">
        <f>IF(AND(C23&lt;&gt;"",E23&lt;&gt;"Full Refresher"),'G2 MT Reading Scoresheet'!$R25/6,"")</f>
        <v/>
      </c>
      <c r="I23" s="210" t="str">
        <f>IF(AND(D23&lt;&gt;"",F23&lt;&gt;"Full Refresher"),'G2 MT Reading Scoresheet'!$P25,"")</f>
        <v/>
      </c>
      <c r="J23" s="250" t="str">
        <f>'G2 MT Reading Scoresheet'!$U25</f>
        <v>Low Emerging Reader</v>
      </c>
      <c r="K23" s="57" t="str">
        <f>'G2 FIL Reading Scoresheet'!$J25</f>
        <v>Full Refresher</v>
      </c>
      <c r="L23" s="248">
        <f>IF($C23&lt;&gt;"",'G2 FIL Reading Scoresheet'!$I25/30,"")</f>
        <v>0</v>
      </c>
      <c r="M23" s="248" t="str">
        <f>IF(AND($C23&lt;&gt;"",$K23&lt;&gt;"Full Refresher"),'G2 FIL Reading Scoresheet'!$Q25,"")</f>
        <v/>
      </c>
      <c r="N23" s="248" t="str">
        <f>IF(AND($C23&lt;&gt;"",K23&lt;&gt;"Full Refresher"),'G2 FIL Reading Scoresheet'!$R25/6,"")</f>
        <v/>
      </c>
      <c r="O23" s="57" t="str">
        <f>IF(AND(C23&lt;&gt;"",K23&lt;&gt;"Full Refresher"),'G2 FIL Reading Scoresheet'!$P25,"")</f>
        <v/>
      </c>
      <c r="P23" s="251" t="str">
        <f>'G2 FIL Reading Scoresheet'!$U25</f>
        <v>Low Emerging Reader</v>
      </c>
      <c r="Q23" s="52" t="str">
        <f>CONCATENATE(IF(ISBLANK('G2 MT Reading Scoresheet'!V25),"",CONCATENATE("MT:",TRIM('G2 MT Reading Scoresheet'!V25)))," ",IF(ISBLANK('G2 FIL Reading Scoresheet'!V25),"",CONCATENATE("FIL:",TRIM('G2 FIL Reading Scoresheet'!V25))))</f>
        <v xml:space="preserve"> </v>
      </c>
    </row>
    <row r="24" spans="1:17" x14ac:dyDescent="0.3">
      <c r="A24" s="44">
        <v>16</v>
      </c>
      <c r="B24" s="45">
        <f>IF('G2 MT Reading Scoresheet'!B26&lt;&gt;"",'G2 MT Reading Scoresheet'!B26,"")</f>
        <v>123456789027</v>
      </c>
      <c r="C24" s="46" t="str">
        <f>IF('G2 MT Reading Scoresheet'!C26&lt;&gt;"",'G2 MT Reading Scoresheet'!C26,"")</f>
        <v>Mia Fernandez</v>
      </c>
      <c r="D24" s="47" t="str">
        <f>IF('G2 MT Reading Scoresheet'!D26&lt;&gt;"",'G2 MT Reading Scoresheet'!D26,"")</f>
        <v>Female</v>
      </c>
      <c r="E24" s="210" t="str">
        <f>'G2 MT Reading Scoresheet'!$J26</f>
        <v>Grade Ready</v>
      </c>
      <c r="F24" s="246">
        <f>IF(C24&lt;&gt;"",'G2 MT Reading Scoresheet'!$I26/30,"")</f>
        <v>0.93333333333333335</v>
      </c>
      <c r="G24" s="246">
        <f>IF(AND($C24&lt;&gt;"",$E24&lt;&gt;"Full Refresher"),'G2 MT Reading Scoresheet'!$Q26,"")</f>
        <v>1</v>
      </c>
      <c r="H24" s="246">
        <f>IF(AND(C24&lt;&gt;"",E24&lt;&gt;"Full Refresher"),'G2 MT Reading Scoresheet'!$R26/6,"")</f>
        <v>0.66666666666666663</v>
      </c>
      <c r="I24" s="210">
        <f>IF(AND(D24&lt;&gt;"",F24&lt;&gt;"Full Refresher"),'G2 MT Reading Scoresheet'!$P26,"")</f>
        <v>47.5</v>
      </c>
      <c r="J24" s="250" t="str">
        <f>'G2 MT Reading Scoresheet'!$U26</f>
        <v>Transitioning Reader</v>
      </c>
      <c r="K24" s="57" t="str">
        <f>'G2 FIL Reading Scoresheet'!$J26</f>
        <v>Grade Ready</v>
      </c>
      <c r="L24" s="248">
        <f>IF($C24&lt;&gt;"",'G2 FIL Reading Scoresheet'!$I26/30,"")</f>
        <v>0.93333333333333335</v>
      </c>
      <c r="M24" s="248">
        <f>IF(AND($C24&lt;&gt;"",$K24&lt;&gt;"Full Refresher"),'G2 FIL Reading Scoresheet'!$Q26,"")</f>
        <v>1</v>
      </c>
      <c r="N24" s="248">
        <f>IF(AND($C24&lt;&gt;"",K24&lt;&gt;"Full Refresher"),'G2 FIL Reading Scoresheet'!$R26/6,"")</f>
        <v>0.66666666666666663</v>
      </c>
      <c r="O24" s="57">
        <f>IF(AND(C24&lt;&gt;"",K24&lt;&gt;"Full Refresher"),'G2 FIL Reading Scoresheet'!$P26,"")</f>
        <v>47.5</v>
      </c>
      <c r="P24" s="251" t="str">
        <f>'G2 FIL Reading Scoresheet'!$U26</f>
        <v>Transitioning Reader</v>
      </c>
      <c r="Q24" s="48" t="str">
        <f>CONCATENATE(IF(ISBLANK('G2 MT Reading Scoresheet'!V26),"",CONCATENATE("MT:",TRIM('G2 MT Reading Scoresheet'!V26)))," ",IF(ISBLANK('G2 FIL Reading Scoresheet'!V26),"",CONCATENATE("FIL:",TRIM('G2 FIL Reading Scoresheet'!V26))))</f>
        <v xml:space="preserve"> </v>
      </c>
    </row>
    <row r="25" spans="1:17" x14ac:dyDescent="0.3">
      <c r="A25" s="43">
        <v>17</v>
      </c>
      <c r="B25" s="49">
        <f>IF('G2 MT Reading Scoresheet'!B27&lt;&gt;"",'G2 MT Reading Scoresheet'!B27,"")</f>
        <v>123456789028</v>
      </c>
      <c r="C25" s="50" t="str">
        <f>IF('G2 MT Reading Scoresheet'!C27&lt;&gt;"",'G2 MT Reading Scoresheet'!C27,"")</f>
        <v>Olivia Rivera</v>
      </c>
      <c r="D25" s="51" t="str">
        <f>IF('G2 MT Reading Scoresheet'!D27&lt;&gt;"",'G2 MT Reading Scoresheet'!D27,"")</f>
        <v>Female</v>
      </c>
      <c r="E25" s="210" t="str">
        <f>'G2 MT Reading Scoresheet'!$J27</f>
        <v>Full Refresher</v>
      </c>
      <c r="F25" s="246">
        <f>IF(C25&lt;&gt;"",'G2 MT Reading Scoresheet'!$I27/30,"")</f>
        <v>0</v>
      </c>
      <c r="G25" s="246" t="str">
        <f>IF(AND($C25&lt;&gt;"",$E25&lt;&gt;"Full Refresher"),'G2 MT Reading Scoresheet'!$Q27,"")</f>
        <v/>
      </c>
      <c r="H25" s="246" t="str">
        <f>IF(AND(C25&lt;&gt;"",E25&lt;&gt;"Full Refresher"),'G2 MT Reading Scoresheet'!$R27/6,"")</f>
        <v/>
      </c>
      <c r="I25" s="210" t="str">
        <f>IF(AND(D25&lt;&gt;"",F25&lt;&gt;"Full Refresher"),'G2 MT Reading Scoresheet'!$P27,"")</f>
        <v/>
      </c>
      <c r="J25" s="250" t="str">
        <f>'G2 MT Reading Scoresheet'!$U27</f>
        <v>Low Emerging Reader</v>
      </c>
      <c r="K25" s="57" t="str">
        <f>'G2 FIL Reading Scoresheet'!$J27</f>
        <v>Full Refresher</v>
      </c>
      <c r="L25" s="248">
        <f>IF($C25&lt;&gt;"",'G2 FIL Reading Scoresheet'!$I27/30,"")</f>
        <v>0</v>
      </c>
      <c r="M25" s="248" t="str">
        <f>IF(AND($C25&lt;&gt;"",$K25&lt;&gt;"Full Refresher"),'G2 FIL Reading Scoresheet'!$Q27,"")</f>
        <v/>
      </c>
      <c r="N25" s="248" t="str">
        <f>IF(AND($C25&lt;&gt;"",K25&lt;&gt;"Full Refresher"),'G2 FIL Reading Scoresheet'!$R27/6,"")</f>
        <v/>
      </c>
      <c r="O25" s="57" t="str">
        <f>IF(AND(C25&lt;&gt;"",K25&lt;&gt;"Full Refresher"),'G2 FIL Reading Scoresheet'!$P27,"")</f>
        <v/>
      </c>
      <c r="P25" s="251" t="str">
        <f>'G2 FIL Reading Scoresheet'!$U27</f>
        <v>Low Emerging Reader</v>
      </c>
      <c r="Q25" s="52" t="str">
        <f>CONCATENATE(IF(ISBLANK('G2 MT Reading Scoresheet'!V27),"",CONCATENATE("MT:",TRIM('G2 MT Reading Scoresheet'!V27)))," ",IF(ISBLANK('G2 FIL Reading Scoresheet'!V27),"",CONCATENATE("FIL:",TRIM('G2 FIL Reading Scoresheet'!V27))))</f>
        <v xml:space="preserve"> </v>
      </c>
    </row>
    <row r="26" spans="1:17" x14ac:dyDescent="0.3">
      <c r="A26" s="44">
        <v>18</v>
      </c>
      <c r="B26" s="45">
        <f>IF('G2 MT Reading Scoresheet'!B28&lt;&gt;"",'G2 MT Reading Scoresheet'!B28,"")</f>
        <v>123456789029</v>
      </c>
      <c r="C26" s="46" t="str">
        <f>IF('G2 MT Reading Scoresheet'!C28&lt;&gt;"",'G2 MT Reading Scoresheet'!C28,"")</f>
        <v>Chloe Morales</v>
      </c>
      <c r="D26" s="47" t="str">
        <f>IF('G2 MT Reading Scoresheet'!D28&lt;&gt;"",'G2 MT Reading Scoresheet'!D28,"")</f>
        <v>Female</v>
      </c>
      <c r="E26" s="210" t="str">
        <f>'G2 MT Reading Scoresheet'!$J28</f>
        <v>Grade Ready</v>
      </c>
      <c r="F26" s="246">
        <f>IF(C26&lt;&gt;"",'G2 MT Reading Scoresheet'!$I28/30,"")</f>
        <v>0.93333333333333335</v>
      </c>
      <c r="G26" s="246">
        <f>IF(AND($C26&lt;&gt;"",$E26&lt;&gt;"Full Refresher"),'G2 MT Reading Scoresheet'!$Q28,"")</f>
        <v>1</v>
      </c>
      <c r="H26" s="246">
        <f>IF(AND(C26&lt;&gt;"",E26&lt;&gt;"Full Refresher"),'G2 MT Reading Scoresheet'!$R28/6,"")</f>
        <v>0.16666666666666666</v>
      </c>
      <c r="I26" s="210">
        <f>IF(AND(D26&lt;&gt;"",F26&lt;&gt;"Full Refresher"),'G2 MT Reading Scoresheet'!$P28,"")</f>
        <v>47.5</v>
      </c>
      <c r="J26" s="250" t="str">
        <f>'G2 MT Reading Scoresheet'!$U28</f>
        <v>Transitioning Reader</v>
      </c>
      <c r="K26" s="57" t="str">
        <f>'G2 FIL Reading Scoresheet'!$J28</f>
        <v>Grade Ready</v>
      </c>
      <c r="L26" s="248">
        <f>IF($C26&lt;&gt;"",'G2 FIL Reading Scoresheet'!$I28/30,"")</f>
        <v>0.93333333333333335</v>
      </c>
      <c r="M26" s="248">
        <f>IF(AND($C26&lt;&gt;"",$K26&lt;&gt;"Full Refresher"),'G2 FIL Reading Scoresheet'!$Q28,"")</f>
        <v>1</v>
      </c>
      <c r="N26" s="248">
        <f>IF(AND($C26&lt;&gt;"",K26&lt;&gt;"Full Refresher"),'G2 FIL Reading Scoresheet'!$R28/6,"")</f>
        <v>0.16666666666666666</v>
      </c>
      <c r="O26" s="57">
        <f>IF(AND(C26&lt;&gt;"",K26&lt;&gt;"Full Refresher"),'G2 FIL Reading Scoresheet'!$P28,"")</f>
        <v>47.5</v>
      </c>
      <c r="P26" s="251" t="str">
        <f>'G2 FIL Reading Scoresheet'!$U28</f>
        <v>Transitioning Reader</v>
      </c>
      <c r="Q26" s="48" t="str">
        <f>CONCATENATE(IF(ISBLANK('G2 MT Reading Scoresheet'!V28),"",CONCATENATE("MT:",TRIM('G2 MT Reading Scoresheet'!V28)))," ",IF(ISBLANK('G2 FIL Reading Scoresheet'!V28),"",CONCATENATE("FIL:",TRIM('G2 FIL Reading Scoresheet'!V28))))</f>
        <v xml:space="preserve"> </v>
      </c>
    </row>
    <row r="27" spans="1:17" x14ac:dyDescent="0.3">
      <c r="A27" s="43">
        <v>19</v>
      </c>
      <c r="B27" s="49">
        <f>IF('G2 MT Reading Scoresheet'!B29&lt;&gt;"",'G2 MT Reading Scoresheet'!B29,"")</f>
        <v>123456789030</v>
      </c>
      <c r="C27" s="50" t="str">
        <f>IF('G2 MT Reading Scoresheet'!C29&lt;&gt;"",'G2 MT Reading Scoresheet'!C29,"")</f>
        <v>Gabriela Herrera</v>
      </c>
      <c r="D27" s="51" t="str">
        <f>IF('G2 MT Reading Scoresheet'!D29&lt;&gt;"",'G2 MT Reading Scoresheet'!D29,"")</f>
        <v>Female</v>
      </c>
      <c r="E27" s="210" t="str">
        <f>'G2 MT Reading Scoresheet'!$J29</f>
        <v>Grade Ready</v>
      </c>
      <c r="F27" s="246">
        <f>IF(C27&lt;&gt;"",'G2 MT Reading Scoresheet'!$I29/30,"")</f>
        <v>1</v>
      </c>
      <c r="G27" s="246">
        <f>IF(AND($C27&lt;&gt;"",$E27&lt;&gt;"Full Refresher"),'G2 MT Reading Scoresheet'!$Q29,"")</f>
        <v>1</v>
      </c>
      <c r="H27" s="246">
        <f>IF(AND(C27&lt;&gt;"",E27&lt;&gt;"Full Refresher"),'G2 MT Reading Scoresheet'!$R29/6,"")</f>
        <v>0.66666666666666663</v>
      </c>
      <c r="I27" s="210">
        <f>IF(AND(D27&lt;&gt;"",F27&lt;&gt;"Full Refresher"),'G2 MT Reading Scoresheet'!$P29,"")</f>
        <v>47.5</v>
      </c>
      <c r="J27" s="250" t="str">
        <f>'G2 MT Reading Scoresheet'!$U29</f>
        <v>Transitioning Reader</v>
      </c>
      <c r="K27" s="57" t="str">
        <f>'G2 FIL Reading Scoresheet'!$J29</f>
        <v>Grade Ready</v>
      </c>
      <c r="L27" s="248">
        <f>IF($C27&lt;&gt;"",'G2 FIL Reading Scoresheet'!$I29/30,"")</f>
        <v>1</v>
      </c>
      <c r="M27" s="248">
        <f>IF(AND($C27&lt;&gt;"",$K27&lt;&gt;"Full Refresher"),'G2 FIL Reading Scoresheet'!$Q29,"")</f>
        <v>1</v>
      </c>
      <c r="N27" s="248">
        <f>IF(AND($C27&lt;&gt;"",K27&lt;&gt;"Full Refresher"),'G2 FIL Reading Scoresheet'!$R29/6,"")</f>
        <v>0.66666666666666663</v>
      </c>
      <c r="O27" s="57">
        <f>IF(AND(C27&lt;&gt;"",K27&lt;&gt;"Full Refresher"),'G2 FIL Reading Scoresheet'!$P29,"")</f>
        <v>47.5</v>
      </c>
      <c r="P27" s="251" t="str">
        <f>'G2 FIL Reading Scoresheet'!$U29</f>
        <v>Transitioning Reader</v>
      </c>
      <c r="Q27" s="52" t="str">
        <f>CONCATENATE(IF(ISBLANK('G2 MT Reading Scoresheet'!V29),"",CONCATENATE("MT:",TRIM('G2 MT Reading Scoresheet'!V29)))," ",IF(ISBLANK('G2 FIL Reading Scoresheet'!V29),"",CONCATENATE("FIL:",TRIM('G2 FIL Reading Scoresheet'!V29))))</f>
        <v xml:space="preserve"> </v>
      </c>
    </row>
    <row r="28" spans="1:17" x14ac:dyDescent="0.3">
      <c r="A28" s="44">
        <v>20</v>
      </c>
      <c r="B28" s="45">
        <f>IF('G2 MT Reading Scoresheet'!B30&lt;&gt;"",'G2 MT Reading Scoresheet'!B30,"")</f>
        <v>123456789031</v>
      </c>
      <c r="C28" s="46" t="str">
        <f>IF('G2 MT Reading Scoresheet'!C30&lt;&gt;"",'G2 MT Reading Scoresheet'!C30,"")</f>
        <v>Hannah Gutierrez</v>
      </c>
      <c r="D28" s="47" t="str">
        <f>IF('G2 MT Reading Scoresheet'!D30&lt;&gt;"",'G2 MT Reading Scoresheet'!D30,"")</f>
        <v>Female</v>
      </c>
      <c r="E28" s="210" t="str">
        <f>'G2 MT Reading Scoresheet'!$J30</f>
        <v>Grade Ready</v>
      </c>
      <c r="F28" s="246">
        <f>IF(C28&lt;&gt;"",'G2 MT Reading Scoresheet'!$I30/30,"")</f>
        <v>1</v>
      </c>
      <c r="G28" s="246">
        <f>IF(AND($C28&lt;&gt;"",$E28&lt;&gt;"Full Refresher"),'G2 MT Reading Scoresheet'!$Q30,"")</f>
        <v>1</v>
      </c>
      <c r="H28" s="246">
        <f>IF(AND(C28&lt;&gt;"",E28&lt;&gt;"Full Refresher"),'G2 MT Reading Scoresheet'!$R30/6,"")</f>
        <v>0.33333333333333331</v>
      </c>
      <c r="I28" s="210">
        <f>IF(AND(D28&lt;&gt;"",F28&lt;&gt;"Full Refresher"),'G2 MT Reading Scoresheet'!$P30,"")</f>
        <v>47.5</v>
      </c>
      <c r="J28" s="250" t="str">
        <f>'G2 MT Reading Scoresheet'!$U30</f>
        <v>Transitioning Reader</v>
      </c>
      <c r="K28" s="57" t="str">
        <f>'G2 FIL Reading Scoresheet'!$J30</f>
        <v>Grade Ready</v>
      </c>
      <c r="L28" s="248">
        <f>IF($C28&lt;&gt;"",'G2 FIL Reading Scoresheet'!$I30/30,"")</f>
        <v>1</v>
      </c>
      <c r="M28" s="248">
        <f>IF(AND($C28&lt;&gt;"",$K28&lt;&gt;"Full Refresher"),'G2 FIL Reading Scoresheet'!$Q30,"")</f>
        <v>1</v>
      </c>
      <c r="N28" s="248">
        <f>IF(AND($C28&lt;&gt;"",K28&lt;&gt;"Full Refresher"),'G2 FIL Reading Scoresheet'!$R30/6,"")</f>
        <v>0.33333333333333331</v>
      </c>
      <c r="O28" s="57">
        <f>IF(AND(C28&lt;&gt;"",K28&lt;&gt;"Full Refresher"),'G2 FIL Reading Scoresheet'!$P30,"")</f>
        <v>47.5</v>
      </c>
      <c r="P28" s="251" t="str">
        <f>'G2 FIL Reading Scoresheet'!$U30</f>
        <v>Transitioning Reader</v>
      </c>
      <c r="Q28" s="48" t="str">
        <f>CONCATENATE(IF(ISBLANK('G2 MT Reading Scoresheet'!V30),"",CONCATENATE("MT:",TRIM('G2 MT Reading Scoresheet'!V30)))," ",IF(ISBLANK('G2 FIL Reading Scoresheet'!V30),"",CONCATENATE("FIL:",TRIM('G2 FIL Reading Scoresheet'!V30))))</f>
        <v xml:space="preserve"> </v>
      </c>
    </row>
    <row r="29" spans="1:17" x14ac:dyDescent="0.3">
      <c r="A29" s="43">
        <v>21</v>
      </c>
      <c r="B29" s="49">
        <f>IF('G2 MT Reading Scoresheet'!B31&lt;&gt;"",'G2 MT Reading Scoresheet'!B31,"")</f>
        <v>123456789032</v>
      </c>
      <c r="C29" s="50" t="str">
        <f>IF('G2 MT Reading Scoresheet'!C31&lt;&gt;"",'G2 MT Reading Scoresheet'!C31,"")</f>
        <v>Zoe Chavez</v>
      </c>
      <c r="D29" s="51" t="str">
        <f>IF('G2 MT Reading Scoresheet'!D31&lt;&gt;"",'G2 MT Reading Scoresheet'!D31,"")</f>
        <v>Female</v>
      </c>
      <c r="E29" s="210" t="str">
        <f>'G2 MT Reading Scoresheet'!$J31</f>
        <v>Grade Ready</v>
      </c>
      <c r="F29" s="246">
        <f>IF(C29&lt;&gt;"",'G2 MT Reading Scoresheet'!$I31/30,"")</f>
        <v>1</v>
      </c>
      <c r="G29" s="246">
        <f>IF(AND($C29&lt;&gt;"",$E29&lt;&gt;"Full Refresher"),'G2 MT Reading Scoresheet'!$Q31,"")</f>
        <v>1</v>
      </c>
      <c r="H29" s="246">
        <f>IF(AND(C29&lt;&gt;"",E29&lt;&gt;"Full Refresher"),'G2 MT Reading Scoresheet'!$R31/6,"")</f>
        <v>0.83333333333333337</v>
      </c>
      <c r="I29" s="210">
        <f>IF(AND(D29&lt;&gt;"",F29&lt;&gt;"Full Refresher"),'G2 MT Reading Scoresheet'!$P31,"")</f>
        <v>47.5</v>
      </c>
      <c r="J29" s="250" t="str">
        <f>'G2 MT Reading Scoresheet'!$U31</f>
        <v>Reading At Grade Level</v>
      </c>
      <c r="K29" s="57" t="str">
        <f>'G2 FIL Reading Scoresheet'!$J31</f>
        <v>Grade Ready</v>
      </c>
      <c r="L29" s="248">
        <f>IF($C29&lt;&gt;"",'G2 FIL Reading Scoresheet'!$I31/30,"")</f>
        <v>1</v>
      </c>
      <c r="M29" s="248">
        <f>IF(AND($C29&lt;&gt;"",$K29&lt;&gt;"Full Refresher"),'G2 FIL Reading Scoresheet'!$Q31,"")</f>
        <v>1</v>
      </c>
      <c r="N29" s="248">
        <f>IF(AND($C29&lt;&gt;"",K29&lt;&gt;"Full Refresher"),'G2 FIL Reading Scoresheet'!$R31/6,"")</f>
        <v>0.83333333333333337</v>
      </c>
      <c r="O29" s="57">
        <f>IF(AND(C29&lt;&gt;"",K29&lt;&gt;"Full Refresher"),'G2 FIL Reading Scoresheet'!$P31,"")</f>
        <v>47.5</v>
      </c>
      <c r="P29" s="251" t="str">
        <f>'G2 FIL Reading Scoresheet'!$U31</f>
        <v>Reading At Grade Level</v>
      </c>
      <c r="Q29" s="52" t="str">
        <f>CONCATENATE(IF(ISBLANK('G2 MT Reading Scoresheet'!V31),"",CONCATENATE("MT:",TRIM('G2 MT Reading Scoresheet'!V31)))," ",IF(ISBLANK('G2 FIL Reading Scoresheet'!V31),"",CONCATENATE("FIL:",TRIM('G2 FIL Reading Scoresheet'!V31))))</f>
        <v xml:space="preserve"> </v>
      </c>
    </row>
    <row r="30" spans="1:17" x14ac:dyDescent="0.3">
      <c r="A30" s="44">
        <v>22</v>
      </c>
      <c r="B30" s="45">
        <f>IF('G2 MT Reading Scoresheet'!B32&lt;&gt;"",'G2 MT Reading Scoresheet'!B32,"")</f>
        <v>123456789033</v>
      </c>
      <c r="C30" s="46" t="str">
        <f>IF('G2 MT Reading Scoresheet'!C32&lt;&gt;"",'G2 MT Reading Scoresheet'!C32,"")</f>
        <v>Eliana Salazar</v>
      </c>
      <c r="D30" s="47" t="str">
        <f>IF('G2 MT Reading Scoresheet'!D32&lt;&gt;"",'G2 MT Reading Scoresheet'!D32,"")</f>
        <v>Female</v>
      </c>
      <c r="E30" s="210" t="str">
        <f>'G2 MT Reading Scoresheet'!$J32</f>
        <v>Full Refresher</v>
      </c>
      <c r="F30" s="246">
        <f>IF(C30&lt;&gt;"",'G2 MT Reading Scoresheet'!$I32/30,"")</f>
        <v>0</v>
      </c>
      <c r="G30" s="246" t="str">
        <f>IF(AND($C30&lt;&gt;"",$E30&lt;&gt;"Full Refresher"),'G2 MT Reading Scoresheet'!$Q32,"")</f>
        <v/>
      </c>
      <c r="H30" s="246" t="str">
        <f>IF(AND(C30&lt;&gt;"",E30&lt;&gt;"Full Refresher"),'G2 MT Reading Scoresheet'!$R32/6,"")</f>
        <v/>
      </c>
      <c r="I30" s="210" t="str">
        <f>IF(AND(D30&lt;&gt;"",F30&lt;&gt;"Full Refresher"),'G2 MT Reading Scoresheet'!$P32,"")</f>
        <v/>
      </c>
      <c r="J30" s="250" t="str">
        <f>'G2 MT Reading Scoresheet'!$U32</f>
        <v>Low Emerging Reader</v>
      </c>
      <c r="K30" s="57" t="str">
        <f>'G2 FIL Reading Scoresheet'!$J32</f>
        <v>Full Refresher</v>
      </c>
      <c r="L30" s="248">
        <f>IF($C30&lt;&gt;"",'G2 FIL Reading Scoresheet'!$I32/30,"")</f>
        <v>0</v>
      </c>
      <c r="M30" s="248" t="str">
        <f>IF(AND($C30&lt;&gt;"",$K30&lt;&gt;"Full Refresher"),'G2 FIL Reading Scoresheet'!$Q32,"")</f>
        <v/>
      </c>
      <c r="N30" s="248" t="str">
        <f>IF(AND($C30&lt;&gt;"",K30&lt;&gt;"Full Refresher"),'G2 FIL Reading Scoresheet'!$R32/6,"")</f>
        <v/>
      </c>
      <c r="O30" s="57" t="str">
        <f>IF(AND(C30&lt;&gt;"",K30&lt;&gt;"Full Refresher"),'G2 FIL Reading Scoresheet'!$P32,"")</f>
        <v/>
      </c>
      <c r="P30" s="251" t="str">
        <f>'G2 FIL Reading Scoresheet'!$U32</f>
        <v>Low Emerging Reader</v>
      </c>
      <c r="Q30" s="48" t="str">
        <f>CONCATENATE(IF(ISBLANK('G2 MT Reading Scoresheet'!V32),"",CONCATENATE("MT:",TRIM('G2 MT Reading Scoresheet'!V32)))," ",IF(ISBLANK('G2 FIL Reading Scoresheet'!V32),"",CONCATENATE("FIL:",TRIM('G2 FIL Reading Scoresheet'!V32))))</f>
        <v xml:space="preserve"> </v>
      </c>
    </row>
    <row r="31" spans="1:17" x14ac:dyDescent="0.3">
      <c r="A31" s="43">
        <v>23</v>
      </c>
      <c r="B31" s="49">
        <f>IF('G2 MT Reading Scoresheet'!B33&lt;&gt;"",'G2 MT Reading Scoresheet'!B33,"")</f>
        <v>123456789034</v>
      </c>
      <c r="C31" s="50" t="str">
        <f>IF('G2 MT Reading Scoresheet'!C33&lt;&gt;"",'G2 MT Reading Scoresheet'!C33,"")</f>
        <v>Camille Vargas</v>
      </c>
      <c r="D31" s="51" t="str">
        <f>IF('G2 MT Reading Scoresheet'!D33&lt;&gt;"",'G2 MT Reading Scoresheet'!D33,"")</f>
        <v>Female</v>
      </c>
      <c r="E31" s="210" t="str">
        <f>'G2 MT Reading Scoresheet'!$J33</f>
        <v>Full Refresher</v>
      </c>
      <c r="F31" s="246">
        <f>IF(C31&lt;&gt;"",'G2 MT Reading Scoresheet'!$I33/30,"")</f>
        <v>0</v>
      </c>
      <c r="G31" s="246" t="str">
        <f>IF(AND($C31&lt;&gt;"",$E31&lt;&gt;"Full Refresher"),'G2 MT Reading Scoresheet'!$Q33,"")</f>
        <v/>
      </c>
      <c r="H31" s="246" t="str">
        <f>IF(AND(C31&lt;&gt;"",E31&lt;&gt;"Full Refresher"),'G2 MT Reading Scoresheet'!$R33/6,"")</f>
        <v/>
      </c>
      <c r="I31" s="210" t="str">
        <f>IF(AND(D31&lt;&gt;"",F31&lt;&gt;"Full Refresher"),'G2 MT Reading Scoresheet'!$P33,"")</f>
        <v/>
      </c>
      <c r="J31" s="250" t="str">
        <f>'G2 MT Reading Scoresheet'!$U33</f>
        <v>Low Emerging Reader</v>
      </c>
      <c r="K31" s="57" t="str">
        <f>'G2 FIL Reading Scoresheet'!$J33</f>
        <v>Full Refresher</v>
      </c>
      <c r="L31" s="248">
        <f>IF($C31&lt;&gt;"",'G2 FIL Reading Scoresheet'!$I33/30,"")</f>
        <v>0</v>
      </c>
      <c r="M31" s="248" t="str">
        <f>IF(AND($C31&lt;&gt;"",$K31&lt;&gt;"Full Refresher"),'G2 FIL Reading Scoresheet'!$Q33,"")</f>
        <v/>
      </c>
      <c r="N31" s="248" t="str">
        <f>IF(AND($C31&lt;&gt;"",K31&lt;&gt;"Full Refresher"),'G2 FIL Reading Scoresheet'!$R33/6,"")</f>
        <v/>
      </c>
      <c r="O31" s="57" t="str">
        <f>IF(AND(C31&lt;&gt;"",K31&lt;&gt;"Full Refresher"),'G2 FIL Reading Scoresheet'!$P33,"")</f>
        <v/>
      </c>
      <c r="P31" s="251" t="str">
        <f>'G2 FIL Reading Scoresheet'!$U33</f>
        <v>Low Emerging Reader</v>
      </c>
      <c r="Q31" s="52" t="str">
        <f>CONCATENATE(IF(ISBLANK('G2 MT Reading Scoresheet'!V33),"",CONCATENATE("MT:",TRIM('G2 MT Reading Scoresheet'!V33)))," ",IF(ISBLANK('G2 FIL Reading Scoresheet'!V33),"",CONCATENATE("FIL:",TRIM('G2 FIL Reading Scoresheet'!V33))))</f>
        <v xml:space="preserve"> </v>
      </c>
    </row>
    <row r="32" spans="1:17" x14ac:dyDescent="0.3">
      <c r="A32" s="44">
        <v>24</v>
      </c>
      <c r="B32" s="45">
        <f>IF('G2 MT Reading Scoresheet'!B34&lt;&gt;"",'G2 MT Reading Scoresheet'!B34,"")</f>
        <v>123456789035</v>
      </c>
      <c r="C32" s="46" t="str">
        <f>IF('G2 MT Reading Scoresheet'!C34&lt;&gt;"",'G2 MT Reading Scoresheet'!C34,"")</f>
        <v>Aria Lozano</v>
      </c>
      <c r="D32" s="47" t="str">
        <f>IF('G2 MT Reading Scoresheet'!D34&lt;&gt;"",'G2 MT Reading Scoresheet'!D34,"")</f>
        <v>Female</v>
      </c>
      <c r="E32" s="210" t="str">
        <f>'G2 MT Reading Scoresheet'!$J34</f>
        <v>Grade Ready</v>
      </c>
      <c r="F32" s="246">
        <f>IF(C32&lt;&gt;"",'G2 MT Reading Scoresheet'!$I34/30,"")</f>
        <v>1</v>
      </c>
      <c r="G32" s="246">
        <f>IF(AND($C32&lt;&gt;"",$E32&lt;&gt;"Full Refresher"),'G2 MT Reading Scoresheet'!$Q34,"")</f>
        <v>1</v>
      </c>
      <c r="H32" s="246">
        <f>IF(AND(C32&lt;&gt;"",E32&lt;&gt;"Full Refresher"),'G2 MT Reading Scoresheet'!$R34/6,"")</f>
        <v>0.66666666666666663</v>
      </c>
      <c r="I32" s="210">
        <f>IF(AND(D32&lt;&gt;"",F32&lt;&gt;"Full Refresher"),'G2 MT Reading Scoresheet'!$P34,"")</f>
        <v>47.899159663865547</v>
      </c>
      <c r="J32" s="250" t="str">
        <f>'G2 MT Reading Scoresheet'!$U34</f>
        <v>Transitioning Reader</v>
      </c>
      <c r="K32" s="57" t="str">
        <f>'G2 FIL Reading Scoresheet'!$J34</f>
        <v>Grade Ready</v>
      </c>
      <c r="L32" s="248">
        <f>IF($C32&lt;&gt;"",'G2 FIL Reading Scoresheet'!$I34/30,"")</f>
        <v>1</v>
      </c>
      <c r="M32" s="248">
        <f>IF(AND($C32&lt;&gt;"",$K32&lt;&gt;"Full Refresher"),'G2 FIL Reading Scoresheet'!$Q34,"")</f>
        <v>1</v>
      </c>
      <c r="N32" s="248">
        <f>IF(AND($C32&lt;&gt;"",K32&lt;&gt;"Full Refresher"),'G2 FIL Reading Scoresheet'!$R34/6,"")</f>
        <v>0.66666666666666663</v>
      </c>
      <c r="O32" s="57">
        <f>IF(AND(C32&lt;&gt;"",K32&lt;&gt;"Full Refresher"),'G2 FIL Reading Scoresheet'!$P34,"")</f>
        <v>47.899159663865547</v>
      </c>
      <c r="P32" s="251" t="str">
        <f>'G2 FIL Reading Scoresheet'!$U34</f>
        <v>Transitioning Reader</v>
      </c>
      <c r="Q32" s="48" t="str">
        <f>CONCATENATE(IF(ISBLANK('G2 MT Reading Scoresheet'!V34),"",CONCATENATE("MT:",TRIM('G2 MT Reading Scoresheet'!V34)))," ",IF(ISBLANK('G2 FIL Reading Scoresheet'!V34),"",CONCATENATE("FIL:",TRIM('G2 FIL Reading Scoresheet'!V34))))</f>
        <v xml:space="preserve"> </v>
      </c>
    </row>
    <row r="33" spans="1:17" x14ac:dyDescent="0.3">
      <c r="A33" s="43">
        <v>25</v>
      </c>
      <c r="B33" s="49" t="str">
        <f>IF('G2 MT Reading Scoresheet'!B35&lt;&gt;"",'G2 MT Reading Scoresheet'!B35,"")</f>
        <v/>
      </c>
      <c r="C33" s="50" t="str">
        <f>IF('G2 MT Reading Scoresheet'!C35&lt;&gt;"",'G2 MT Reading Scoresheet'!C35,"")</f>
        <v/>
      </c>
      <c r="D33" s="51" t="str">
        <f>IF('G2 MT Reading Scoresheet'!D35&lt;&gt;"",'G2 MT Reading Scoresheet'!D35,"")</f>
        <v/>
      </c>
      <c r="E33" s="210" t="str">
        <f>'G2 MT Reading Scoresheet'!$J35</f>
        <v/>
      </c>
      <c r="F33" s="246" t="str">
        <f>IF(C33&lt;&gt;"",'G2 MT Reading Scoresheet'!$I35/30,"")</f>
        <v/>
      </c>
      <c r="G33" s="246" t="str">
        <f>IF(AND($C33&lt;&gt;"",$E33&lt;&gt;"Full Refresher"),'G2 MT Reading Scoresheet'!$Q35,"")</f>
        <v/>
      </c>
      <c r="H33" s="246" t="str">
        <f>IF(AND(C33&lt;&gt;"",E33&lt;&gt;"Full Refresher"),'G2 MT Reading Scoresheet'!$R35/6,"")</f>
        <v/>
      </c>
      <c r="I33" s="210" t="str">
        <f>IF(AND(D33&lt;&gt;"",F33&lt;&gt;"Full Refresher"),'G2 MT Reading Scoresheet'!$P35,"")</f>
        <v/>
      </c>
      <c r="J33" s="250" t="str">
        <f>'G2 MT Reading Scoresheet'!$U35</f>
        <v/>
      </c>
      <c r="K33" s="57" t="str">
        <f>'G2 FIL Reading Scoresheet'!$J35</f>
        <v/>
      </c>
      <c r="L33" s="248" t="str">
        <f>IF($C33&lt;&gt;"",'G2 FIL Reading Scoresheet'!$I35/30,"")</f>
        <v/>
      </c>
      <c r="M33" s="248" t="str">
        <f>IF(AND($C33&lt;&gt;"",$K33&lt;&gt;"Full Refresher"),'G2 FIL Reading Scoresheet'!$Q35,"")</f>
        <v/>
      </c>
      <c r="N33" s="248" t="str">
        <f>IF(AND($C33&lt;&gt;"",K33&lt;&gt;"Full Refresher"),'G2 FIL Reading Scoresheet'!$R35/6,"")</f>
        <v/>
      </c>
      <c r="O33" s="57" t="str">
        <f>IF(AND(C33&lt;&gt;"",K33&lt;&gt;"Full Refresher"),'G2 FIL Reading Scoresheet'!$P35,"")</f>
        <v/>
      </c>
      <c r="P33" s="251" t="str">
        <f>'G2 FIL Reading Scoresheet'!$U35</f>
        <v/>
      </c>
      <c r="Q33" s="52" t="str">
        <f>CONCATENATE(IF(ISBLANK('G2 MT Reading Scoresheet'!V35),"",CONCATENATE("MT:",TRIM('G2 MT Reading Scoresheet'!V35)))," ",IF(ISBLANK('G2 FIL Reading Scoresheet'!V35),"",CONCATENATE("FIL:",TRIM('G2 FIL Reading Scoresheet'!V35))))</f>
        <v xml:space="preserve"> </v>
      </c>
    </row>
    <row r="34" spans="1:17" x14ac:dyDescent="0.3">
      <c r="A34" s="44">
        <v>26</v>
      </c>
      <c r="B34" s="45" t="str">
        <f>IF('G2 MT Reading Scoresheet'!B36&lt;&gt;"",'G2 MT Reading Scoresheet'!B36,"")</f>
        <v/>
      </c>
      <c r="C34" s="46" t="str">
        <f>IF('G2 MT Reading Scoresheet'!C36&lt;&gt;"",'G2 MT Reading Scoresheet'!C36,"")</f>
        <v/>
      </c>
      <c r="D34" s="47" t="str">
        <f>IF('G2 MT Reading Scoresheet'!D36&lt;&gt;"",'G2 MT Reading Scoresheet'!D36,"")</f>
        <v/>
      </c>
      <c r="E34" s="210" t="str">
        <f>'G2 MT Reading Scoresheet'!$J36</f>
        <v/>
      </c>
      <c r="F34" s="246" t="str">
        <f>IF(C34&lt;&gt;"",'G2 MT Reading Scoresheet'!$I36/30,"")</f>
        <v/>
      </c>
      <c r="G34" s="246" t="str">
        <f>IF(AND($C34&lt;&gt;"",$E34&lt;&gt;"Full Refresher"),'G2 MT Reading Scoresheet'!$Q36,"")</f>
        <v/>
      </c>
      <c r="H34" s="246" t="str">
        <f>IF(AND(C34&lt;&gt;"",E34&lt;&gt;"Full Refresher"),'G2 MT Reading Scoresheet'!$R36/6,"")</f>
        <v/>
      </c>
      <c r="I34" s="210" t="str">
        <f>IF(AND(D34&lt;&gt;"",F34&lt;&gt;"Full Refresher"),'G2 MT Reading Scoresheet'!$P36,"")</f>
        <v/>
      </c>
      <c r="J34" s="250" t="str">
        <f>'G2 MT Reading Scoresheet'!$U36</f>
        <v/>
      </c>
      <c r="K34" s="57" t="str">
        <f>'G2 FIL Reading Scoresheet'!$J36</f>
        <v/>
      </c>
      <c r="L34" s="248" t="str">
        <f>IF($C34&lt;&gt;"",'G2 FIL Reading Scoresheet'!$I36/30,"")</f>
        <v/>
      </c>
      <c r="M34" s="248" t="str">
        <f>IF(AND($C34&lt;&gt;"",$K34&lt;&gt;"Full Refresher"),'G2 FIL Reading Scoresheet'!$Q36,"")</f>
        <v/>
      </c>
      <c r="N34" s="248" t="str">
        <f>IF(AND($C34&lt;&gt;"",K34&lt;&gt;"Full Refresher"),'G2 FIL Reading Scoresheet'!$R36/6,"")</f>
        <v/>
      </c>
      <c r="O34" s="57" t="str">
        <f>IF(AND(C34&lt;&gt;"",K34&lt;&gt;"Full Refresher"),'G2 FIL Reading Scoresheet'!$P36,"")</f>
        <v/>
      </c>
      <c r="P34" s="251" t="str">
        <f>'G2 FIL Reading Scoresheet'!$U36</f>
        <v/>
      </c>
      <c r="Q34" s="48" t="str">
        <f>CONCATENATE(IF(ISBLANK('G2 MT Reading Scoresheet'!V36),"",CONCATENATE("MT:",TRIM('G2 MT Reading Scoresheet'!V36)))," ",IF(ISBLANK('G2 FIL Reading Scoresheet'!V36),"",CONCATENATE("FIL:",TRIM('G2 FIL Reading Scoresheet'!V36))))</f>
        <v xml:space="preserve"> </v>
      </c>
    </row>
    <row r="35" spans="1:17" x14ac:dyDescent="0.3">
      <c r="A35" s="43">
        <v>27</v>
      </c>
      <c r="B35" s="49" t="str">
        <f>IF('G2 MT Reading Scoresheet'!B37&lt;&gt;"",'G2 MT Reading Scoresheet'!B37,"")</f>
        <v/>
      </c>
      <c r="C35" s="50" t="str">
        <f>IF('G2 MT Reading Scoresheet'!C37&lt;&gt;"",'G2 MT Reading Scoresheet'!C37,"")</f>
        <v/>
      </c>
      <c r="D35" s="51" t="str">
        <f>IF('G2 MT Reading Scoresheet'!D37&lt;&gt;"",'G2 MT Reading Scoresheet'!D37,"")</f>
        <v/>
      </c>
      <c r="E35" s="210" t="str">
        <f>'G2 MT Reading Scoresheet'!$J37</f>
        <v/>
      </c>
      <c r="F35" s="246" t="str">
        <f>IF(C35&lt;&gt;"",'G2 MT Reading Scoresheet'!$I37/30,"")</f>
        <v/>
      </c>
      <c r="G35" s="246" t="str">
        <f>IF(AND($C35&lt;&gt;"",$E35&lt;&gt;"Full Refresher"),'G2 MT Reading Scoresheet'!$Q37,"")</f>
        <v/>
      </c>
      <c r="H35" s="246" t="str">
        <f>IF(AND(C35&lt;&gt;"",E35&lt;&gt;"Full Refresher"),'G2 MT Reading Scoresheet'!$R37/6,"")</f>
        <v/>
      </c>
      <c r="I35" s="210" t="str">
        <f>IF(AND(D35&lt;&gt;"",F35&lt;&gt;"Full Refresher"),'G2 MT Reading Scoresheet'!$P37,"")</f>
        <v/>
      </c>
      <c r="J35" s="250" t="str">
        <f>'G2 MT Reading Scoresheet'!$U37</f>
        <v/>
      </c>
      <c r="K35" s="57" t="str">
        <f>'G2 FIL Reading Scoresheet'!$J37</f>
        <v/>
      </c>
      <c r="L35" s="248" t="str">
        <f>IF($C35&lt;&gt;"",'G2 FIL Reading Scoresheet'!$I37/30,"")</f>
        <v/>
      </c>
      <c r="M35" s="248" t="str">
        <f>IF(AND($C35&lt;&gt;"",$K35&lt;&gt;"Full Refresher"),'G2 FIL Reading Scoresheet'!$Q37,"")</f>
        <v/>
      </c>
      <c r="N35" s="248" t="str">
        <f>IF(AND($C35&lt;&gt;"",K35&lt;&gt;"Full Refresher"),'G2 FIL Reading Scoresheet'!$R37/6,"")</f>
        <v/>
      </c>
      <c r="O35" s="57" t="str">
        <f>IF(AND(C35&lt;&gt;"",K35&lt;&gt;"Full Refresher"),'G2 FIL Reading Scoresheet'!$P37,"")</f>
        <v/>
      </c>
      <c r="P35" s="251" t="str">
        <f>'G2 FIL Reading Scoresheet'!$U37</f>
        <v/>
      </c>
      <c r="Q35" s="52" t="str">
        <f>CONCATENATE(IF(ISBLANK('G2 MT Reading Scoresheet'!V37),"",CONCATENATE("MT:",TRIM('G2 MT Reading Scoresheet'!V37)))," ",IF(ISBLANK('G2 FIL Reading Scoresheet'!V37),"",CONCATENATE("FIL:",TRIM('G2 FIL Reading Scoresheet'!V37))))</f>
        <v xml:space="preserve"> </v>
      </c>
    </row>
    <row r="36" spans="1:17" x14ac:dyDescent="0.3">
      <c r="A36" s="44">
        <v>28</v>
      </c>
      <c r="B36" s="45" t="str">
        <f>IF('G2 MT Reading Scoresheet'!B38&lt;&gt;"",'G2 MT Reading Scoresheet'!B38,"")</f>
        <v/>
      </c>
      <c r="C36" s="46" t="str">
        <f>IF('G2 MT Reading Scoresheet'!C38&lt;&gt;"",'G2 MT Reading Scoresheet'!C38,"")</f>
        <v/>
      </c>
      <c r="D36" s="47" t="str">
        <f>IF('G2 MT Reading Scoresheet'!D38&lt;&gt;"",'G2 MT Reading Scoresheet'!D38,"")</f>
        <v/>
      </c>
      <c r="E36" s="210" t="str">
        <f>'G2 MT Reading Scoresheet'!$J38</f>
        <v/>
      </c>
      <c r="F36" s="246" t="str">
        <f>IF(C36&lt;&gt;"",'G2 MT Reading Scoresheet'!$I38/30,"")</f>
        <v/>
      </c>
      <c r="G36" s="246" t="str">
        <f>IF(AND($C36&lt;&gt;"",$E36&lt;&gt;"Full Refresher"),'G2 MT Reading Scoresheet'!$Q38,"")</f>
        <v/>
      </c>
      <c r="H36" s="246" t="str">
        <f>IF(AND(C36&lt;&gt;"",E36&lt;&gt;"Full Refresher"),'G2 MT Reading Scoresheet'!$R38/6,"")</f>
        <v/>
      </c>
      <c r="I36" s="210" t="str">
        <f>IF(AND(D36&lt;&gt;"",F36&lt;&gt;"Full Refresher"),'G2 MT Reading Scoresheet'!$P38,"")</f>
        <v/>
      </c>
      <c r="J36" s="250" t="str">
        <f>'G2 MT Reading Scoresheet'!$U38</f>
        <v/>
      </c>
      <c r="K36" s="57" t="str">
        <f>'G2 FIL Reading Scoresheet'!$J38</f>
        <v/>
      </c>
      <c r="L36" s="248" t="str">
        <f>IF($C36&lt;&gt;"",'G2 FIL Reading Scoresheet'!$I38/30,"")</f>
        <v/>
      </c>
      <c r="M36" s="248" t="str">
        <f>IF(AND($C36&lt;&gt;"",$K36&lt;&gt;"Full Refresher"),'G2 FIL Reading Scoresheet'!$Q38,"")</f>
        <v/>
      </c>
      <c r="N36" s="248" t="str">
        <f>IF(AND($C36&lt;&gt;"",K36&lt;&gt;"Full Refresher"),'G2 FIL Reading Scoresheet'!$R38/6,"")</f>
        <v/>
      </c>
      <c r="O36" s="57" t="str">
        <f>IF(AND(C36&lt;&gt;"",K36&lt;&gt;"Full Refresher"),'G2 FIL Reading Scoresheet'!$P38,"")</f>
        <v/>
      </c>
      <c r="P36" s="251" t="str">
        <f>'G2 FIL Reading Scoresheet'!$U38</f>
        <v/>
      </c>
      <c r="Q36" s="48" t="str">
        <f>CONCATENATE(IF(ISBLANK('G2 MT Reading Scoresheet'!V38),"",CONCATENATE("MT:",TRIM('G2 MT Reading Scoresheet'!V38)))," ",IF(ISBLANK('G2 FIL Reading Scoresheet'!V38),"",CONCATENATE("FIL:",TRIM('G2 FIL Reading Scoresheet'!V38))))</f>
        <v xml:space="preserve"> </v>
      </c>
    </row>
    <row r="37" spans="1:17" x14ac:dyDescent="0.3">
      <c r="A37" s="43">
        <v>29</v>
      </c>
      <c r="B37" s="49" t="str">
        <f>IF('G2 MT Reading Scoresheet'!B39&lt;&gt;"",'G2 MT Reading Scoresheet'!B39,"")</f>
        <v/>
      </c>
      <c r="C37" s="50" t="str">
        <f>IF('G2 MT Reading Scoresheet'!C39&lt;&gt;"",'G2 MT Reading Scoresheet'!C39,"")</f>
        <v/>
      </c>
      <c r="D37" s="51" t="str">
        <f>IF('G2 MT Reading Scoresheet'!D39&lt;&gt;"",'G2 MT Reading Scoresheet'!D39,"")</f>
        <v/>
      </c>
      <c r="E37" s="210" t="str">
        <f>'G2 MT Reading Scoresheet'!$J39</f>
        <v/>
      </c>
      <c r="F37" s="246" t="str">
        <f>IF(C37&lt;&gt;"",'G2 MT Reading Scoresheet'!$I39/30,"")</f>
        <v/>
      </c>
      <c r="G37" s="246" t="str">
        <f>IF(AND($C37&lt;&gt;"",$E37&lt;&gt;"Full Refresher"),'G2 MT Reading Scoresheet'!$Q39,"")</f>
        <v/>
      </c>
      <c r="H37" s="246" t="str">
        <f>IF(AND(C37&lt;&gt;"",E37&lt;&gt;"Full Refresher"),'G2 MT Reading Scoresheet'!$R39/6,"")</f>
        <v/>
      </c>
      <c r="I37" s="210" t="str">
        <f>IF(AND(D37&lt;&gt;"",F37&lt;&gt;"Full Refresher"),'G2 MT Reading Scoresheet'!$P39,"")</f>
        <v/>
      </c>
      <c r="J37" s="250" t="str">
        <f>'G2 MT Reading Scoresheet'!$U39</f>
        <v/>
      </c>
      <c r="K37" s="57" t="str">
        <f>'G2 FIL Reading Scoresheet'!$J39</f>
        <v/>
      </c>
      <c r="L37" s="248" t="str">
        <f>IF($C37&lt;&gt;"",'G2 FIL Reading Scoresheet'!$I39/30,"")</f>
        <v/>
      </c>
      <c r="M37" s="248" t="str">
        <f>IF(AND($C37&lt;&gt;"",$K37&lt;&gt;"Full Refresher"),'G2 FIL Reading Scoresheet'!$Q39,"")</f>
        <v/>
      </c>
      <c r="N37" s="248" t="str">
        <f>IF(AND($C37&lt;&gt;"",K37&lt;&gt;"Full Refresher"),'G2 FIL Reading Scoresheet'!$R39/6,"")</f>
        <v/>
      </c>
      <c r="O37" s="57" t="str">
        <f>IF(AND(C37&lt;&gt;"",K37&lt;&gt;"Full Refresher"),'G2 FIL Reading Scoresheet'!$P39,"")</f>
        <v/>
      </c>
      <c r="P37" s="251" t="str">
        <f>'G2 FIL Reading Scoresheet'!$U39</f>
        <v/>
      </c>
      <c r="Q37" s="52" t="str">
        <f>CONCATENATE(IF(ISBLANK('G2 MT Reading Scoresheet'!V39),"",CONCATENATE("MT:",TRIM('G2 MT Reading Scoresheet'!V39)))," ",IF(ISBLANK('G2 FIL Reading Scoresheet'!V39),"",CONCATENATE("FIL:",TRIM('G2 FIL Reading Scoresheet'!V39))))</f>
        <v xml:space="preserve"> </v>
      </c>
    </row>
    <row r="38" spans="1:17" x14ac:dyDescent="0.3">
      <c r="A38" s="44">
        <v>30</v>
      </c>
      <c r="B38" s="45" t="str">
        <f>IF('G2 MT Reading Scoresheet'!B40&lt;&gt;"",'G2 MT Reading Scoresheet'!B40,"")</f>
        <v/>
      </c>
      <c r="C38" s="46" t="str">
        <f>IF('G2 MT Reading Scoresheet'!C40&lt;&gt;"",'G2 MT Reading Scoresheet'!C40,"")</f>
        <v/>
      </c>
      <c r="D38" s="47" t="str">
        <f>IF('G2 MT Reading Scoresheet'!D40&lt;&gt;"",'G2 MT Reading Scoresheet'!D40,"")</f>
        <v/>
      </c>
      <c r="E38" s="210" t="str">
        <f>'G2 MT Reading Scoresheet'!$J40</f>
        <v/>
      </c>
      <c r="F38" s="246" t="str">
        <f>IF(C38&lt;&gt;"",'G2 MT Reading Scoresheet'!$I40/30,"")</f>
        <v/>
      </c>
      <c r="G38" s="246" t="str">
        <f>IF(AND($C38&lt;&gt;"",$E38&lt;&gt;"Full Refresher"),'G2 MT Reading Scoresheet'!$Q40,"")</f>
        <v/>
      </c>
      <c r="H38" s="246" t="str">
        <f>IF(AND(C38&lt;&gt;"",E38&lt;&gt;"Full Refresher"),'G2 MT Reading Scoresheet'!$R40/6,"")</f>
        <v/>
      </c>
      <c r="I38" s="210" t="str">
        <f>IF(AND(D38&lt;&gt;"",F38&lt;&gt;"Full Refresher"),'G2 MT Reading Scoresheet'!$P40,"")</f>
        <v/>
      </c>
      <c r="J38" s="250" t="str">
        <f>'G2 MT Reading Scoresheet'!$U40</f>
        <v/>
      </c>
      <c r="K38" s="57" t="str">
        <f>'G2 FIL Reading Scoresheet'!$J40</f>
        <v/>
      </c>
      <c r="L38" s="248" t="str">
        <f>IF($C38&lt;&gt;"",'G2 FIL Reading Scoresheet'!$I40/30,"")</f>
        <v/>
      </c>
      <c r="M38" s="248" t="str">
        <f>IF(AND($C38&lt;&gt;"",$K38&lt;&gt;"Full Refresher"),'G2 FIL Reading Scoresheet'!$Q40,"")</f>
        <v/>
      </c>
      <c r="N38" s="248" t="str">
        <f>IF(AND($C38&lt;&gt;"",K38&lt;&gt;"Full Refresher"),'G2 FIL Reading Scoresheet'!$R40/6,"")</f>
        <v/>
      </c>
      <c r="O38" s="57" t="str">
        <f>IF(AND(C38&lt;&gt;"",K38&lt;&gt;"Full Refresher"),'G2 FIL Reading Scoresheet'!$P40,"")</f>
        <v/>
      </c>
      <c r="P38" s="251" t="str">
        <f>'G2 FIL Reading Scoresheet'!$U40</f>
        <v/>
      </c>
      <c r="Q38" s="48" t="str">
        <f>CONCATENATE(IF(ISBLANK('G2 MT Reading Scoresheet'!V40),"",CONCATENATE("MT:",TRIM('G2 MT Reading Scoresheet'!V40)))," ",IF(ISBLANK('G2 FIL Reading Scoresheet'!V40),"",CONCATENATE("FIL:",TRIM('G2 FIL Reading Scoresheet'!V40))))</f>
        <v xml:space="preserve"> </v>
      </c>
    </row>
    <row r="39" spans="1:17" x14ac:dyDescent="0.3">
      <c r="A39" s="43">
        <v>31</v>
      </c>
      <c r="B39" s="49" t="str">
        <f>IF('G2 MT Reading Scoresheet'!B41&lt;&gt;"",'G2 MT Reading Scoresheet'!B41,"")</f>
        <v/>
      </c>
      <c r="C39" s="50" t="str">
        <f>IF('G2 MT Reading Scoresheet'!C41&lt;&gt;"",'G2 MT Reading Scoresheet'!C41,"")</f>
        <v/>
      </c>
      <c r="D39" s="51" t="str">
        <f>IF('G2 MT Reading Scoresheet'!D41&lt;&gt;"",'G2 MT Reading Scoresheet'!D41,"")</f>
        <v/>
      </c>
      <c r="E39" s="210" t="str">
        <f>'G2 MT Reading Scoresheet'!$J41</f>
        <v/>
      </c>
      <c r="F39" s="246" t="str">
        <f>IF(C39&lt;&gt;"",'G2 MT Reading Scoresheet'!$I41/30,"")</f>
        <v/>
      </c>
      <c r="G39" s="246" t="str">
        <f>IF(AND($C39&lt;&gt;"",$E39&lt;&gt;"Full Refresher"),'G2 MT Reading Scoresheet'!$Q41,"")</f>
        <v/>
      </c>
      <c r="H39" s="246" t="str">
        <f>IF(AND(C39&lt;&gt;"",E39&lt;&gt;"Full Refresher"),'G2 MT Reading Scoresheet'!$R41/6,"")</f>
        <v/>
      </c>
      <c r="I39" s="210" t="str">
        <f>IF(AND(D39&lt;&gt;"",F39&lt;&gt;"Full Refresher"),'G2 MT Reading Scoresheet'!$P41,"")</f>
        <v/>
      </c>
      <c r="J39" s="250" t="str">
        <f>'G2 MT Reading Scoresheet'!$U41</f>
        <v/>
      </c>
      <c r="K39" s="57" t="str">
        <f>'G2 FIL Reading Scoresheet'!$J41</f>
        <v/>
      </c>
      <c r="L39" s="248" t="str">
        <f>IF($C39&lt;&gt;"",'G2 FIL Reading Scoresheet'!$I41/30,"")</f>
        <v/>
      </c>
      <c r="M39" s="248" t="str">
        <f>IF(AND($C39&lt;&gt;"",$K39&lt;&gt;"Full Refresher"),'G2 FIL Reading Scoresheet'!$Q41,"")</f>
        <v/>
      </c>
      <c r="N39" s="248" t="str">
        <f>IF(AND($C39&lt;&gt;"",K39&lt;&gt;"Full Refresher"),'G2 FIL Reading Scoresheet'!$R41/6,"")</f>
        <v/>
      </c>
      <c r="O39" s="57" t="str">
        <f>IF(AND(C39&lt;&gt;"",K39&lt;&gt;"Full Refresher"),'G2 FIL Reading Scoresheet'!$P41,"")</f>
        <v/>
      </c>
      <c r="P39" s="251" t="str">
        <f>'G2 FIL Reading Scoresheet'!$U41</f>
        <v/>
      </c>
      <c r="Q39" s="52" t="str">
        <f>CONCATENATE(IF(ISBLANK('G2 MT Reading Scoresheet'!V41),"",CONCATENATE("MT:",TRIM('G2 MT Reading Scoresheet'!V41)))," ",IF(ISBLANK('G2 FIL Reading Scoresheet'!V41),"",CONCATENATE("FIL:",TRIM('G2 FIL Reading Scoresheet'!V41))))</f>
        <v xml:space="preserve"> </v>
      </c>
    </row>
    <row r="40" spans="1:17" x14ac:dyDescent="0.3">
      <c r="A40" s="44">
        <v>32</v>
      </c>
      <c r="B40" s="45" t="str">
        <f>IF('G2 MT Reading Scoresheet'!B42&lt;&gt;"",'G2 MT Reading Scoresheet'!B42,"")</f>
        <v/>
      </c>
      <c r="C40" s="46" t="str">
        <f>IF('G2 MT Reading Scoresheet'!C42&lt;&gt;"",'G2 MT Reading Scoresheet'!C42,"")</f>
        <v/>
      </c>
      <c r="D40" s="47" t="str">
        <f>IF('G2 MT Reading Scoresheet'!D42&lt;&gt;"",'G2 MT Reading Scoresheet'!D42,"")</f>
        <v/>
      </c>
      <c r="E40" s="210" t="str">
        <f>'G2 MT Reading Scoresheet'!$J42</f>
        <v/>
      </c>
      <c r="F40" s="246" t="str">
        <f>IF(C40&lt;&gt;"",'G2 MT Reading Scoresheet'!$I42/30,"")</f>
        <v/>
      </c>
      <c r="G40" s="246" t="str">
        <f>IF(AND($C40&lt;&gt;"",$E40&lt;&gt;"Full Refresher"),'G2 MT Reading Scoresheet'!$Q42,"")</f>
        <v/>
      </c>
      <c r="H40" s="246" t="str">
        <f>IF(AND(C40&lt;&gt;"",E40&lt;&gt;"Full Refresher"),'G2 MT Reading Scoresheet'!$R42/6,"")</f>
        <v/>
      </c>
      <c r="I40" s="210" t="str">
        <f>IF(AND(D40&lt;&gt;"",F40&lt;&gt;"Full Refresher"),'G2 MT Reading Scoresheet'!$P42,"")</f>
        <v/>
      </c>
      <c r="J40" s="250" t="str">
        <f>'G2 MT Reading Scoresheet'!$U42</f>
        <v/>
      </c>
      <c r="K40" s="57" t="str">
        <f>'G2 FIL Reading Scoresheet'!$J42</f>
        <v/>
      </c>
      <c r="L40" s="248" t="str">
        <f>IF($C40&lt;&gt;"",'G2 FIL Reading Scoresheet'!$I42/30,"")</f>
        <v/>
      </c>
      <c r="M40" s="248" t="str">
        <f>IF(AND($C40&lt;&gt;"",$K40&lt;&gt;"Full Refresher"),'G2 FIL Reading Scoresheet'!$Q42,"")</f>
        <v/>
      </c>
      <c r="N40" s="248" t="str">
        <f>IF(AND($C40&lt;&gt;"",K40&lt;&gt;"Full Refresher"),'G2 FIL Reading Scoresheet'!$R42/6,"")</f>
        <v/>
      </c>
      <c r="O40" s="57" t="str">
        <f>IF(AND(C40&lt;&gt;"",K40&lt;&gt;"Full Refresher"),'G2 FIL Reading Scoresheet'!$P42,"")</f>
        <v/>
      </c>
      <c r="P40" s="251" t="str">
        <f>'G2 FIL Reading Scoresheet'!$U42</f>
        <v/>
      </c>
      <c r="Q40" s="48" t="str">
        <f>CONCATENATE(IF(ISBLANK('G2 MT Reading Scoresheet'!V42),"",CONCATENATE("MT:",TRIM('G2 MT Reading Scoresheet'!V42)))," ",IF(ISBLANK('G2 FIL Reading Scoresheet'!V42),"",CONCATENATE("FIL:",TRIM('G2 FIL Reading Scoresheet'!V42))))</f>
        <v xml:space="preserve"> </v>
      </c>
    </row>
    <row r="41" spans="1:17" x14ac:dyDescent="0.3">
      <c r="A41" s="43">
        <v>33</v>
      </c>
      <c r="B41" s="49" t="str">
        <f>IF('G2 MT Reading Scoresheet'!B43&lt;&gt;"",'G2 MT Reading Scoresheet'!B43,"")</f>
        <v/>
      </c>
      <c r="C41" s="50" t="str">
        <f>IF('G2 MT Reading Scoresheet'!C43&lt;&gt;"",'G2 MT Reading Scoresheet'!C43,"")</f>
        <v/>
      </c>
      <c r="D41" s="51" t="str">
        <f>IF('G2 MT Reading Scoresheet'!D43&lt;&gt;"",'G2 MT Reading Scoresheet'!D43,"")</f>
        <v/>
      </c>
      <c r="E41" s="210" t="str">
        <f>'G2 MT Reading Scoresheet'!$J43</f>
        <v/>
      </c>
      <c r="F41" s="246" t="str">
        <f>IF(C41&lt;&gt;"",'G2 MT Reading Scoresheet'!$I43/30,"")</f>
        <v/>
      </c>
      <c r="G41" s="246" t="str">
        <f>IF(AND($C41&lt;&gt;"",$E41&lt;&gt;"Full Refresher"),'G2 MT Reading Scoresheet'!$Q43,"")</f>
        <v/>
      </c>
      <c r="H41" s="246" t="str">
        <f>IF(AND(C41&lt;&gt;"",E41&lt;&gt;"Full Refresher"),'G2 MT Reading Scoresheet'!$R43/6,"")</f>
        <v/>
      </c>
      <c r="I41" s="210" t="str">
        <f>IF(AND(D41&lt;&gt;"",F41&lt;&gt;"Full Refresher"),'G2 MT Reading Scoresheet'!$P43,"")</f>
        <v/>
      </c>
      <c r="J41" s="250" t="str">
        <f>'G2 MT Reading Scoresheet'!$U43</f>
        <v/>
      </c>
      <c r="K41" s="57" t="str">
        <f>'G2 FIL Reading Scoresheet'!$J43</f>
        <v/>
      </c>
      <c r="L41" s="248" t="str">
        <f>IF($C41&lt;&gt;"",'G2 FIL Reading Scoresheet'!$I43/30,"")</f>
        <v/>
      </c>
      <c r="M41" s="248" t="str">
        <f>IF(AND($C41&lt;&gt;"",$K41&lt;&gt;"Full Refresher"),'G2 FIL Reading Scoresheet'!$Q43,"")</f>
        <v/>
      </c>
      <c r="N41" s="248" t="str">
        <f>IF(AND($C41&lt;&gt;"",K41&lt;&gt;"Full Refresher"),'G2 FIL Reading Scoresheet'!$R43/6,"")</f>
        <v/>
      </c>
      <c r="O41" s="57" t="str">
        <f>IF(AND(C41&lt;&gt;"",K41&lt;&gt;"Full Refresher"),'G2 FIL Reading Scoresheet'!$P43,"")</f>
        <v/>
      </c>
      <c r="P41" s="251" t="str">
        <f>'G2 FIL Reading Scoresheet'!$U43</f>
        <v/>
      </c>
      <c r="Q41" s="52" t="str">
        <f>CONCATENATE(IF(ISBLANK('G2 MT Reading Scoresheet'!V43),"",CONCATENATE("MT:",TRIM('G2 MT Reading Scoresheet'!V43)))," ",IF(ISBLANK('G2 FIL Reading Scoresheet'!V43),"",CONCATENATE("FIL:",TRIM('G2 FIL Reading Scoresheet'!V43))))</f>
        <v xml:space="preserve"> </v>
      </c>
    </row>
    <row r="42" spans="1:17" x14ac:dyDescent="0.3">
      <c r="A42" s="44">
        <v>34</v>
      </c>
      <c r="B42" s="45" t="str">
        <f>IF('G2 MT Reading Scoresheet'!B44&lt;&gt;"",'G2 MT Reading Scoresheet'!B44,"")</f>
        <v/>
      </c>
      <c r="C42" s="46" t="str">
        <f>IF('G2 MT Reading Scoresheet'!C44&lt;&gt;"",'G2 MT Reading Scoresheet'!C44,"")</f>
        <v/>
      </c>
      <c r="D42" s="47" t="str">
        <f>IF('G2 MT Reading Scoresheet'!D44&lt;&gt;"",'G2 MT Reading Scoresheet'!D44,"")</f>
        <v/>
      </c>
      <c r="E42" s="210" t="str">
        <f>'G2 MT Reading Scoresheet'!$J44</f>
        <v/>
      </c>
      <c r="F42" s="246" t="str">
        <f>IF(C42&lt;&gt;"",'G2 MT Reading Scoresheet'!$I44/30,"")</f>
        <v/>
      </c>
      <c r="G42" s="246" t="str">
        <f>IF(AND($C42&lt;&gt;"",$E42&lt;&gt;"Full Refresher"),'G2 MT Reading Scoresheet'!$Q44,"")</f>
        <v/>
      </c>
      <c r="H42" s="246" t="str">
        <f>IF(AND(C42&lt;&gt;"",E42&lt;&gt;"Full Refresher"),'G2 MT Reading Scoresheet'!$R44/6,"")</f>
        <v/>
      </c>
      <c r="I42" s="210" t="str">
        <f>IF(AND(D42&lt;&gt;"",F42&lt;&gt;"Full Refresher"),'G2 MT Reading Scoresheet'!$P44,"")</f>
        <v/>
      </c>
      <c r="J42" s="250" t="str">
        <f>'G2 MT Reading Scoresheet'!$U44</f>
        <v/>
      </c>
      <c r="K42" s="57" t="str">
        <f>'G2 FIL Reading Scoresheet'!$J44</f>
        <v/>
      </c>
      <c r="L42" s="248" t="str">
        <f>IF($C42&lt;&gt;"",'G2 FIL Reading Scoresheet'!$I44/30,"")</f>
        <v/>
      </c>
      <c r="M42" s="248" t="str">
        <f>IF(AND($C42&lt;&gt;"",$K42&lt;&gt;"Full Refresher"),'G2 FIL Reading Scoresheet'!$Q44,"")</f>
        <v/>
      </c>
      <c r="N42" s="248" t="str">
        <f>IF(AND($C42&lt;&gt;"",K42&lt;&gt;"Full Refresher"),'G2 FIL Reading Scoresheet'!$R44/6,"")</f>
        <v/>
      </c>
      <c r="O42" s="57" t="str">
        <f>IF(AND(C42&lt;&gt;"",K42&lt;&gt;"Full Refresher"),'G2 FIL Reading Scoresheet'!$P44,"")</f>
        <v/>
      </c>
      <c r="P42" s="251" t="str">
        <f>'G2 FIL Reading Scoresheet'!$U44</f>
        <v/>
      </c>
      <c r="Q42" s="48" t="str">
        <f>CONCATENATE(IF(ISBLANK('G2 MT Reading Scoresheet'!V44),"",CONCATENATE("MT:",TRIM('G2 MT Reading Scoresheet'!V44)))," ",IF(ISBLANK('G2 FIL Reading Scoresheet'!V44),"",CONCATENATE("FIL:",TRIM('G2 FIL Reading Scoresheet'!V44))))</f>
        <v xml:space="preserve"> </v>
      </c>
    </row>
    <row r="43" spans="1:17" x14ac:dyDescent="0.3">
      <c r="A43" s="43">
        <v>35</v>
      </c>
      <c r="B43" s="49" t="str">
        <f>IF('G2 MT Reading Scoresheet'!B45&lt;&gt;"",'G2 MT Reading Scoresheet'!B45,"")</f>
        <v/>
      </c>
      <c r="C43" s="50" t="str">
        <f>IF('G2 MT Reading Scoresheet'!C45&lt;&gt;"",'G2 MT Reading Scoresheet'!C45,"")</f>
        <v/>
      </c>
      <c r="D43" s="51" t="str">
        <f>IF('G2 MT Reading Scoresheet'!D45&lt;&gt;"",'G2 MT Reading Scoresheet'!D45,"")</f>
        <v/>
      </c>
      <c r="E43" s="210" t="str">
        <f>'G2 MT Reading Scoresheet'!$J45</f>
        <v/>
      </c>
      <c r="F43" s="246" t="str">
        <f>IF(C43&lt;&gt;"",'G2 MT Reading Scoresheet'!$I45/30,"")</f>
        <v/>
      </c>
      <c r="G43" s="246" t="str">
        <f>IF(AND($C43&lt;&gt;"",$E43&lt;&gt;"Full Refresher"),'G2 MT Reading Scoresheet'!$Q45,"")</f>
        <v/>
      </c>
      <c r="H43" s="246" t="str">
        <f>IF(AND(C43&lt;&gt;"",E43&lt;&gt;"Full Refresher"),'G2 MT Reading Scoresheet'!$R45/6,"")</f>
        <v/>
      </c>
      <c r="I43" s="210" t="str">
        <f>IF(AND(D43&lt;&gt;"",F43&lt;&gt;"Full Refresher"),'G2 MT Reading Scoresheet'!$P45,"")</f>
        <v/>
      </c>
      <c r="J43" s="250" t="str">
        <f>'G2 MT Reading Scoresheet'!$U45</f>
        <v/>
      </c>
      <c r="K43" s="57" t="str">
        <f>'G2 FIL Reading Scoresheet'!$J45</f>
        <v/>
      </c>
      <c r="L43" s="248" t="str">
        <f>IF($C43&lt;&gt;"",'G2 FIL Reading Scoresheet'!$I45/30,"")</f>
        <v/>
      </c>
      <c r="M43" s="248" t="str">
        <f>IF(AND($C43&lt;&gt;"",$K43&lt;&gt;"Full Refresher"),'G2 FIL Reading Scoresheet'!$Q45,"")</f>
        <v/>
      </c>
      <c r="N43" s="248" t="str">
        <f>IF(AND($C43&lt;&gt;"",K43&lt;&gt;"Full Refresher"),'G2 FIL Reading Scoresheet'!$R45/6,"")</f>
        <v/>
      </c>
      <c r="O43" s="57" t="str">
        <f>IF(AND(C43&lt;&gt;"",K43&lt;&gt;"Full Refresher"),'G2 FIL Reading Scoresheet'!$P45,"")</f>
        <v/>
      </c>
      <c r="P43" s="251" t="str">
        <f>'G2 FIL Reading Scoresheet'!$U45</f>
        <v/>
      </c>
      <c r="Q43" s="52" t="str">
        <f>CONCATENATE(IF(ISBLANK('G2 MT Reading Scoresheet'!V45),"",CONCATENATE("MT:",TRIM('G2 MT Reading Scoresheet'!V45)))," ",IF(ISBLANK('G2 FIL Reading Scoresheet'!V45),"",CONCATENATE("FIL:",TRIM('G2 FIL Reading Scoresheet'!V45))))</f>
        <v xml:space="preserve"> </v>
      </c>
    </row>
    <row r="44" spans="1:17" x14ac:dyDescent="0.3">
      <c r="A44" s="44">
        <v>36</v>
      </c>
      <c r="B44" s="45" t="str">
        <f>IF('G2 MT Reading Scoresheet'!B46&lt;&gt;"",'G2 MT Reading Scoresheet'!B46,"")</f>
        <v/>
      </c>
      <c r="C44" s="46" t="str">
        <f>IF('G2 MT Reading Scoresheet'!C46&lt;&gt;"",'G2 MT Reading Scoresheet'!C46,"")</f>
        <v/>
      </c>
      <c r="D44" s="47" t="str">
        <f>IF('G2 MT Reading Scoresheet'!D46&lt;&gt;"",'G2 MT Reading Scoresheet'!D46,"")</f>
        <v/>
      </c>
      <c r="E44" s="210" t="str">
        <f>'G2 MT Reading Scoresheet'!$J46</f>
        <v/>
      </c>
      <c r="F44" s="246" t="str">
        <f>IF(C44&lt;&gt;"",'G2 MT Reading Scoresheet'!$I46/30,"")</f>
        <v/>
      </c>
      <c r="G44" s="246" t="str">
        <f>IF(AND($C44&lt;&gt;"",$E44&lt;&gt;"Full Refresher"),'G2 MT Reading Scoresheet'!$Q46,"")</f>
        <v/>
      </c>
      <c r="H44" s="246" t="str">
        <f>IF(AND(C44&lt;&gt;"",E44&lt;&gt;"Full Refresher"),'G2 MT Reading Scoresheet'!$R46/6,"")</f>
        <v/>
      </c>
      <c r="I44" s="210" t="str">
        <f>IF(AND(D44&lt;&gt;"",F44&lt;&gt;"Full Refresher"),'G2 MT Reading Scoresheet'!$P46,"")</f>
        <v/>
      </c>
      <c r="J44" s="250" t="str">
        <f>'G2 MT Reading Scoresheet'!$U46</f>
        <v/>
      </c>
      <c r="K44" s="57" t="str">
        <f>'G2 FIL Reading Scoresheet'!$J46</f>
        <v/>
      </c>
      <c r="L44" s="248" t="str">
        <f>IF($C44&lt;&gt;"",'G2 FIL Reading Scoresheet'!$I46/30,"")</f>
        <v/>
      </c>
      <c r="M44" s="248" t="str">
        <f>IF(AND($C44&lt;&gt;"",$K44&lt;&gt;"Full Refresher"),'G2 FIL Reading Scoresheet'!$Q46,"")</f>
        <v/>
      </c>
      <c r="N44" s="248" t="str">
        <f>IF(AND($C44&lt;&gt;"",K44&lt;&gt;"Full Refresher"),'G2 FIL Reading Scoresheet'!$R46/6,"")</f>
        <v/>
      </c>
      <c r="O44" s="57" t="str">
        <f>IF(AND(C44&lt;&gt;"",K44&lt;&gt;"Full Refresher"),'G2 FIL Reading Scoresheet'!$P46,"")</f>
        <v/>
      </c>
      <c r="P44" s="251" t="str">
        <f>'G2 FIL Reading Scoresheet'!$U46</f>
        <v/>
      </c>
      <c r="Q44" s="48" t="str">
        <f>CONCATENATE(IF(ISBLANK('G2 MT Reading Scoresheet'!V46),"",CONCATENATE("MT:",TRIM('G2 MT Reading Scoresheet'!V46)))," ",IF(ISBLANK('G2 FIL Reading Scoresheet'!V46),"",CONCATENATE("FIL:",TRIM('G2 FIL Reading Scoresheet'!V46))))</f>
        <v xml:space="preserve"> </v>
      </c>
    </row>
    <row r="45" spans="1:17" x14ac:dyDescent="0.3">
      <c r="A45" s="43">
        <v>37</v>
      </c>
      <c r="B45" s="49" t="str">
        <f>IF('G2 MT Reading Scoresheet'!B47&lt;&gt;"",'G2 MT Reading Scoresheet'!B47,"")</f>
        <v/>
      </c>
      <c r="C45" s="50" t="str">
        <f>IF('G2 MT Reading Scoresheet'!C47&lt;&gt;"",'G2 MT Reading Scoresheet'!C47,"")</f>
        <v/>
      </c>
      <c r="D45" s="51" t="str">
        <f>IF('G2 MT Reading Scoresheet'!D47&lt;&gt;"",'G2 MT Reading Scoresheet'!D47,"")</f>
        <v/>
      </c>
      <c r="E45" s="210" t="str">
        <f>'G2 MT Reading Scoresheet'!$J47</f>
        <v/>
      </c>
      <c r="F45" s="246" t="str">
        <f>IF(C45&lt;&gt;"",'G2 MT Reading Scoresheet'!$I47/30,"")</f>
        <v/>
      </c>
      <c r="G45" s="246" t="str">
        <f>IF(AND($C45&lt;&gt;"",$E45&lt;&gt;"Full Refresher"),'G2 MT Reading Scoresheet'!$Q47,"")</f>
        <v/>
      </c>
      <c r="H45" s="246" t="str">
        <f>IF(AND(C45&lt;&gt;"",E45&lt;&gt;"Full Refresher"),'G2 MT Reading Scoresheet'!$R47/6,"")</f>
        <v/>
      </c>
      <c r="I45" s="210" t="str">
        <f>IF(AND(D45&lt;&gt;"",F45&lt;&gt;"Full Refresher"),'G2 MT Reading Scoresheet'!$P47,"")</f>
        <v/>
      </c>
      <c r="J45" s="250" t="str">
        <f>'G2 MT Reading Scoresheet'!$U47</f>
        <v/>
      </c>
      <c r="K45" s="57" t="str">
        <f>'G2 FIL Reading Scoresheet'!$J47</f>
        <v/>
      </c>
      <c r="L45" s="248" t="str">
        <f>IF($C45&lt;&gt;"",'G2 FIL Reading Scoresheet'!$I47/30,"")</f>
        <v/>
      </c>
      <c r="M45" s="248" t="str">
        <f>IF(AND($C45&lt;&gt;"",$K45&lt;&gt;"Full Refresher"),'G2 FIL Reading Scoresheet'!$Q47,"")</f>
        <v/>
      </c>
      <c r="N45" s="248" t="str">
        <f>IF(AND($C45&lt;&gt;"",K45&lt;&gt;"Full Refresher"),'G2 FIL Reading Scoresheet'!$R47/6,"")</f>
        <v/>
      </c>
      <c r="O45" s="57" t="str">
        <f>IF(AND(C45&lt;&gt;"",K45&lt;&gt;"Full Refresher"),'G2 FIL Reading Scoresheet'!$P47,"")</f>
        <v/>
      </c>
      <c r="P45" s="251" t="str">
        <f>'G2 FIL Reading Scoresheet'!$U47</f>
        <v/>
      </c>
      <c r="Q45" s="52" t="str">
        <f>CONCATENATE(IF(ISBLANK('G2 MT Reading Scoresheet'!V47),"",CONCATENATE("MT:",TRIM('G2 MT Reading Scoresheet'!V47)))," ",IF(ISBLANK('G2 FIL Reading Scoresheet'!V47),"",CONCATENATE("FIL:",TRIM('G2 FIL Reading Scoresheet'!V47))))</f>
        <v xml:space="preserve"> </v>
      </c>
    </row>
    <row r="46" spans="1:17" x14ac:dyDescent="0.3">
      <c r="A46" s="44">
        <v>38</v>
      </c>
      <c r="B46" s="45" t="str">
        <f>IF('G2 MT Reading Scoresheet'!B48&lt;&gt;"",'G2 MT Reading Scoresheet'!B48,"")</f>
        <v/>
      </c>
      <c r="C46" s="46" t="str">
        <f>IF('G2 MT Reading Scoresheet'!C48&lt;&gt;"",'G2 MT Reading Scoresheet'!C48,"")</f>
        <v/>
      </c>
      <c r="D46" s="47" t="str">
        <f>IF('G2 MT Reading Scoresheet'!D48&lt;&gt;"",'G2 MT Reading Scoresheet'!D48,"")</f>
        <v/>
      </c>
      <c r="E46" s="210" t="str">
        <f>'G2 MT Reading Scoresheet'!$J48</f>
        <v/>
      </c>
      <c r="F46" s="246" t="str">
        <f>IF(C46&lt;&gt;"",'G2 MT Reading Scoresheet'!$I48/30,"")</f>
        <v/>
      </c>
      <c r="G46" s="246" t="str">
        <f>IF(AND($C46&lt;&gt;"",$E46&lt;&gt;"Full Refresher"),'G2 MT Reading Scoresheet'!$Q48,"")</f>
        <v/>
      </c>
      <c r="H46" s="246" t="str">
        <f>IF(AND(C46&lt;&gt;"",E46&lt;&gt;"Full Refresher"),'G2 MT Reading Scoresheet'!$R48/6,"")</f>
        <v/>
      </c>
      <c r="I46" s="210" t="str">
        <f>IF(AND(D46&lt;&gt;"",F46&lt;&gt;"Full Refresher"),'G2 MT Reading Scoresheet'!$P48,"")</f>
        <v/>
      </c>
      <c r="J46" s="250" t="str">
        <f>'G2 MT Reading Scoresheet'!$U48</f>
        <v/>
      </c>
      <c r="K46" s="57" t="str">
        <f>'G2 FIL Reading Scoresheet'!$J48</f>
        <v/>
      </c>
      <c r="L46" s="248" t="str">
        <f>IF($C46&lt;&gt;"",'G2 FIL Reading Scoresheet'!$I48/30,"")</f>
        <v/>
      </c>
      <c r="M46" s="248" t="str">
        <f>IF(AND($C46&lt;&gt;"",$K46&lt;&gt;"Full Refresher"),'G2 FIL Reading Scoresheet'!$Q48,"")</f>
        <v/>
      </c>
      <c r="N46" s="248" t="str">
        <f>IF(AND($C46&lt;&gt;"",K46&lt;&gt;"Full Refresher"),'G2 FIL Reading Scoresheet'!$R48/6,"")</f>
        <v/>
      </c>
      <c r="O46" s="57" t="str">
        <f>IF(AND(C46&lt;&gt;"",K46&lt;&gt;"Full Refresher"),'G2 FIL Reading Scoresheet'!$P48,"")</f>
        <v/>
      </c>
      <c r="P46" s="251" t="str">
        <f>'G2 FIL Reading Scoresheet'!$U48</f>
        <v/>
      </c>
      <c r="Q46" s="48" t="str">
        <f>CONCATENATE(IF(ISBLANK('G2 MT Reading Scoresheet'!V48),"",CONCATENATE("MT:",TRIM('G2 MT Reading Scoresheet'!V48)))," ",IF(ISBLANK('G2 FIL Reading Scoresheet'!V48),"",CONCATENATE("FIL:",TRIM('G2 FIL Reading Scoresheet'!V48))))</f>
        <v xml:space="preserve"> </v>
      </c>
    </row>
    <row r="47" spans="1:17" x14ac:dyDescent="0.3">
      <c r="A47" s="43">
        <v>39</v>
      </c>
      <c r="B47" s="49" t="str">
        <f>IF('G2 MT Reading Scoresheet'!B49&lt;&gt;"",'G2 MT Reading Scoresheet'!B49,"")</f>
        <v/>
      </c>
      <c r="C47" s="50" t="str">
        <f>IF('G2 MT Reading Scoresheet'!C49&lt;&gt;"",'G2 MT Reading Scoresheet'!C49,"")</f>
        <v/>
      </c>
      <c r="D47" s="51" t="str">
        <f>IF('G2 MT Reading Scoresheet'!D49&lt;&gt;"",'G2 MT Reading Scoresheet'!D49,"")</f>
        <v/>
      </c>
      <c r="E47" s="210" t="str">
        <f>'G2 MT Reading Scoresheet'!$J49</f>
        <v/>
      </c>
      <c r="F47" s="246" t="str">
        <f>IF(C47&lt;&gt;"",'G2 MT Reading Scoresheet'!$I49/30,"")</f>
        <v/>
      </c>
      <c r="G47" s="246" t="str">
        <f>IF(AND($C47&lt;&gt;"",$E47&lt;&gt;"Full Refresher"),'G2 MT Reading Scoresheet'!$Q49,"")</f>
        <v/>
      </c>
      <c r="H47" s="246" t="str">
        <f>IF(AND(C47&lt;&gt;"",E47&lt;&gt;"Full Refresher"),'G2 MT Reading Scoresheet'!$R49/6,"")</f>
        <v/>
      </c>
      <c r="I47" s="210" t="str">
        <f>IF(AND(D47&lt;&gt;"",F47&lt;&gt;"Full Refresher"),'G2 MT Reading Scoresheet'!$P49,"")</f>
        <v/>
      </c>
      <c r="J47" s="250" t="str">
        <f>'G2 MT Reading Scoresheet'!$U49</f>
        <v/>
      </c>
      <c r="K47" s="57" t="str">
        <f>'G2 FIL Reading Scoresheet'!$J49</f>
        <v/>
      </c>
      <c r="L47" s="248" t="str">
        <f>IF($C47&lt;&gt;"",'G2 FIL Reading Scoresheet'!$I49/30,"")</f>
        <v/>
      </c>
      <c r="M47" s="248" t="str">
        <f>IF(AND($C47&lt;&gt;"",$K47&lt;&gt;"Full Refresher"),'G2 FIL Reading Scoresheet'!$Q49,"")</f>
        <v/>
      </c>
      <c r="N47" s="248" t="str">
        <f>IF(AND($C47&lt;&gt;"",K47&lt;&gt;"Full Refresher"),'G2 FIL Reading Scoresheet'!$R49/6,"")</f>
        <v/>
      </c>
      <c r="O47" s="57" t="str">
        <f>IF(AND(C47&lt;&gt;"",K47&lt;&gt;"Full Refresher"),'G2 FIL Reading Scoresheet'!$P49,"")</f>
        <v/>
      </c>
      <c r="P47" s="251" t="str">
        <f>'G2 FIL Reading Scoresheet'!$U49</f>
        <v/>
      </c>
      <c r="Q47" s="52" t="str">
        <f>CONCATENATE(IF(ISBLANK('G2 MT Reading Scoresheet'!V49),"",CONCATENATE("MT:",TRIM('G2 MT Reading Scoresheet'!V49)))," ",IF(ISBLANK('G2 FIL Reading Scoresheet'!V49),"",CONCATENATE("FIL:",TRIM('G2 FIL Reading Scoresheet'!V49))))</f>
        <v xml:space="preserve"> </v>
      </c>
    </row>
    <row r="48" spans="1:17" x14ac:dyDescent="0.3">
      <c r="A48" s="44">
        <v>40</v>
      </c>
      <c r="B48" s="45" t="str">
        <f>IF('G2 MT Reading Scoresheet'!B50&lt;&gt;"",'G2 MT Reading Scoresheet'!B50,"")</f>
        <v/>
      </c>
      <c r="C48" s="46" t="str">
        <f>IF('G2 MT Reading Scoresheet'!C50&lt;&gt;"",'G2 MT Reading Scoresheet'!C50,"")</f>
        <v/>
      </c>
      <c r="D48" s="47" t="str">
        <f>IF('G2 MT Reading Scoresheet'!D50&lt;&gt;"",'G2 MT Reading Scoresheet'!D50,"")</f>
        <v/>
      </c>
      <c r="E48" s="210" t="str">
        <f>'G2 MT Reading Scoresheet'!$J50</f>
        <v/>
      </c>
      <c r="F48" s="246" t="str">
        <f>IF(C48&lt;&gt;"",'G2 MT Reading Scoresheet'!$I50/30,"")</f>
        <v/>
      </c>
      <c r="G48" s="246" t="str">
        <f>IF(AND($C48&lt;&gt;"",$E48&lt;&gt;"Full Refresher"),'G2 MT Reading Scoresheet'!$Q50,"")</f>
        <v/>
      </c>
      <c r="H48" s="246" t="str">
        <f>IF(AND(C48&lt;&gt;"",E48&lt;&gt;"Full Refresher"),'G2 MT Reading Scoresheet'!$R50/6,"")</f>
        <v/>
      </c>
      <c r="I48" s="210" t="str">
        <f>IF(AND(D48&lt;&gt;"",F48&lt;&gt;"Full Refresher"),'G2 MT Reading Scoresheet'!$P50,"")</f>
        <v/>
      </c>
      <c r="J48" s="250" t="str">
        <f>'G2 MT Reading Scoresheet'!$U50</f>
        <v/>
      </c>
      <c r="K48" s="57" t="str">
        <f>'G2 FIL Reading Scoresheet'!$J50</f>
        <v/>
      </c>
      <c r="L48" s="248" t="str">
        <f>IF($C48&lt;&gt;"",'G2 FIL Reading Scoresheet'!$I50/30,"")</f>
        <v/>
      </c>
      <c r="M48" s="248" t="str">
        <f>IF(AND($C48&lt;&gt;"",$K48&lt;&gt;"Full Refresher"),'G2 FIL Reading Scoresheet'!$Q50,"")</f>
        <v/>
      </c>
      <c r="N48" s="248" t="str">
        <f>IF(AND($C48&lt;&gt;"",K48&lt;&gt;"Full Refresher"),'G2 FIL Reading Scoresheet'!$R50/6,"")</f>
        <v/>
      </c>
      <c r="O48" s="57" t="str">
        <f>IF(AND(C48&lt;&gt;"",K48&lt;&gt;"Full Refresher"),'G2 FIL Reading Scoresheet'!$P50,"")</f>
        <v/>
      </c>
      <c r="P48" s="251" t="str">
        <f>'G2 FIL Reading Scoresheet'!$U50</f>
        <v/>
      </c>
      <c r="Q48" s="48" t="str">
        <f>CONCATENATE(IF(ISBLANK('G2 MT Reading Scoresheet'!V50),"",CONCATENATE("MT:",TRIM('G2 MT Reading Scoresheet'!V50)))," ",IF(ISBLANK('G2 FIL Reading Scoresheet'!V50),"",CONCATENATE("FIL:",TRIM('G2 FIL Reading Scoresheet'!V50))))</f>
        <v xml:space="preserve"> </v>
      </c>
    </row>
    <row r="49" spans="1:17" x14ac:dyDescent="0.3">
      <c r="A49" s="43">
        <v>41</v>
      </c>
      <c r="B49" s="49" t="str">
        <f>IF('G2 MT Reading Scoresheet'!B51&lt;&gt;"",'G2 MT Reading Scoresheet'!B51,"")</f>
        <v/>
      </c>
      <c r="C49" s="50" t="str">
        <f>IF('G2 MT Reading Scoresheet'!C51&lt;&gt;"",'G2 MT Reading Scoresheet'!C51,"")</f>
        <v/>
      </c>
      <c r="D49" s="51" t="str">
        <f>IF('G2 MT Reading Scoresheet'!D51&lt;&gt;"",'G2 MT Reading Scoresheet'!D51,"")</f>
        <v/>
      </c>
      <c r="E49" s="210" t="str">
        <f>'G2 MT Reading Scoresheet'!$J51</f>
        <v/>
      </c>
      <c r="F49" s="246" t="str">
        <f>IF(C49&lt;&gt;"",'G2 MT Reading Scoresheet'!$I51/30,"")</f>
        <v/>
      </c>
      <c r="G49" s="246" t="str">
        <f>IF(AND($C49&lt;&gt;"",$E49&lt;&gt;"Full Refresher"),'G2 MT Reading Scoresheet'!$Q51,"")</f>
        <v/>
      </c>
      <c r="H49" s="246" t="str">
        <f>IF(AND(C49&lt;&gt;"",E49&lt;&gt;"Full Refresher"),'G2 MT Reading Scoresheet'!$R51/6,"")</f>
        <v/>
      </c>
      <c r="I49" s="210" t="str">
        <f>IF(AND(D49&lt;&gt;"",F49&lt;&gt;"Full Refresher"),'G2 MT Reading Scoresheet'!$P51,"")</f>
        <v/>
      </c>
      <c r="J49" s="250" t="str">
        <f>'G2 MT Reading Scoresheet'!$U51</f>
        <v/>
      </c>
      <c r="K49" s="57" t="str">
        <f>'G2 FIL Reading Scoresheet'!$J51</f>
        <v/>
      </c>
      <c r="L49" s="248" t="str">
        <f>IF($C49&lt;&gt;"",'G2 FIL Reading Scoresheet'!$I51/30,"")</f>
        <v/>
      </c>
      <c r="M49" s="248" t="str">
        <f>IF(AND($C49&lt;&gt;"",$K49&lt;&gt;"Full Refresher"),'G2 FIL Reading Scoresheet'!$Q51,"")</f>
        <v/>
      </c>
      <c r="N49" s="248" t="str">
        <f>IF(AND($C49&lt;&gt;"",K49&lt;&gt;"Full Refresher"),'G2 FIL Reading Scoresheet'!$R51/6,"")</f>
        <v/>
      </c>
      <c r="O49" s="57" t="str">
        <f>IF(AND(C49&lt;&gt;"",K49&lt;&gt;"Full Refresher"),'G2 FIL Reading Scoresheet'!$P51,"")</f>
        <v/>
      </c>
      <c r="P49" s="251" t="str">
        <f>'G2 FIL Reading Scoresheet'!$U51</f>
        <v/>
      </c>
      <c r="Q49" s="52" t="str">
        <f>CONCATENATE(IF(ISBLANK('G2 MT Reading Scoresheet'!V51),"",CONCATENATE("MT:",TRIM('G2 MT Reading Scoresheet'!V51)))," ",IF(ISBLANK('G2 FIL Reading Scoresheet'!V51),"",CONCATENATE("FIL:",TRIM('G2 FIL Reading Scoresheet'!V51))))</f>
        <v xml:space="preserve"> </v>
      </c>
    </row>
    <row r="50" spans="1:17" x14ac:dyDescent="0.3">
      <c r="A50" s="44">
        <v>42</v>
      </c>
      <c r="B50" s="45" t="str">
        <f>IF('G2 MT Reading Scoresheet'!B52&lt;&gt;"",'G2 MT Reading Scoresheet'!B52,"")</f>
        <v/>
      </c>
      <c r="C50" s="46" t="str">
        <f>IF('G2 MT Reading Scoresheet'!C52&lt;&gt;"",'G2 MT Reading Scoresheet'!C52,"")</f>
        <v/>
      </c>
      <c r="D50" s="47" t="str">
        <f>IF('G2 MT Reading Scoresheet'!D52&lt;&gt;"",'G2 MT Reading Scoresheet'!D52,"")</f>
        <v/>
      </c>
      <c r="E50" s="210" t="str">
        <f>'G2 MT Reading Scoresheet'!$J52</f>
        <v/>
      </c>
      <c r="F50" s="246" t="str">
        <f>IF(C50&lt;&gt;"",'G2 MT Reading Scoresheet'!$I52/30,"")</f>
        <v/>
      </c>
      <c r="G50" s="246" t="str">
        <f>IF(AND($C50&lt;&gt;"",$E50&lt;&gt;"Full Refresher"),'G2 MT Reading Scoresheet'!$Q52,"")</f>
        <v/>
      </c>
      <c r="H50" s="246" t="str">
        <f>IF(AND(C50&lt;&gt;"",E50&lt;&gt;"Full Refresher"),'G2 MT Reading Scoresheet'!$R52/6,"")</f>
        <v/>
      </c>
      <c r="I50" s="210" t="str">
        <f>IF(AND(D50&lt;&gt;"",F50&lt;&gt;"Full Refresher"),'G2 MT Reading Scoresheet'!$P52,"")</f>
        <v/>
      </c>
      <c r="J50" s="250" t="str">
        <f>'G2 MT Reading Scoresheet'!$U52</f>
        <v/>
      </c>
      <c r="K50" s="57" t="str">
        <f>'G2 FIL Reading Scoresheet'!$J52</f>
        <v/>
      </c>
      <c r="L50" s="248" t="str">
        <f>IF($C50&lt;&gt;"",'G2 FIL Reading Scoresheet'!$I52/30,"")</f>
        <v/>
      </c>
      <c r="M50" s="248" t="str">
        <f>IF(AND($C50&lt;&gt;"",$K50&lt;&gt;"Full Refresher"),'G2 FIL Reading Scoresheet'!$Q52,"")</f>
        <v/>
      </c>
      <c r="N50" s="248" t="str">
        <f>IF(AND($C50&lt;&gt;"",K50&lt;&gt;"Full Refresher"),'G2 FIL Reading Scoresheet'!$R52/6,"")</f>
        <v/>
      </c>
      <c r="O50" s="57" t="str">
        <f>IF(AND(C50&lt;&gt;"",K50&lt;&gt;"Full Refresher"),'G2 FIL Reading Scoresheet'!$P52,"")</f>
        <v/>
      </c>
      <c r="P50" s="251" t="str">
        <f>'G2 FIL Reading Scoresheet'!$U52</f>
        <v/>
      </c>
      <c r="Q50" s="48" t="str">
        <f>CONCATENATE(IF(ISBLANK('G2 MT Reading Scoresheet'!V52),"",CONCATENATE("MT:",TRIM('G2 MT Reading Scoresheet'!V52)))," ",IF(ISBLANK('G2 FIL Reading Scoresheet'!V52),"",CONCATENATE("FIL:",TRIM('G2 FIL Reading Scoresheet'!V52))))</f>
        <v xml:space="preserve"> </v>
      </c>
    </row>
    <row r="51" spans="1:17" x14ac:dyDescent="0.3">
      <c r="A51" s="43">
        <v>43</v>
      </c>
      <c r="B51" s="49" t="str">
        <f>IF('G2 MT Reading Scoresheet'!B53&lt;&gt;"",'G2 MT Reading Scoresheet'!B53,"")</f>
        <v/>
      </c>
      <c r="C51" s="50" t="str">
        <f>IF('G2 MT Reading Scoresheet'!C53&lt;&gt;"",'G2 MT Reading Scoresheet'!C53,"")</f>
        <v/>
      </c>
      <c r="D51" s="51" t="str">
        <f>IF('G2 MT Reading Scoresheet'!D53&lt;&gt;"",'G2 MT Reading Scoresheet'!D53,"")</f>
        <v/>
      </c>
      <c r="E51" s="210" t="str">
        <f>'G2 MT Reading Scoresheet'!$J53</f>
        <v/>
      </c>
      <c r="F51" s="246" t="str">
        <f>IF(C51&lt;&gt;"",'G2 MT Reading Scoresheet'!$I53/30,"")</f>
        <v/>
      </c>
      <c r="G51" s="246" t="str">
        <f>IF(AND($C51&lt;&gt;"",$E51&lt;&gt;"Full Refresher"),'G2 MT Reading Scoresheet'!$Q53,"")</f>
        <v/>
      </c>
      <c r="H51" s="246" t="str">
        <f>IF(AND(C51&lt;&gt;"",E51&lt;&gt;"Full Refresher"),'G2 MT Reading Scoresheet'!$R53/6,"")</f>
        <v/>
      </c>
      <c r="I51" s="210" t="str">
        <f>IF(AND(D51&lt;&gt;"",F51&lt;&gt;"Full Refresher"),'G2 MT Reading Scoresheet'!$P53,"")</f>
        <v/>
      </c>
      <c r="J51" s="250" t="str">
        <f>'G2 MT Reading Scoresheet'!$U53</f>
        <v/>
      </c>
      <c r="K51" s="57" t="str">
        <f>'G2 FIL Reading Scoresheet'!$J53</f>
        <v/>
      </c>
      <c r="L51" s="248" t="str">
        <f>IF($C51&lt;&gt;"",'G2 FIL Reading Scoresheet'!$I53/30,"")</f>
        <v/>
      </c>
      <c r="M51" s="248" t="str">
        <f>IF(AND($C51&lt;&gt;"",$K51&lt;&gt;"Full Refresher"),'G2 FIL Reading Scoresheet'!$Q53,"")</f>
        <v/>
      </c>
      <c r="N51" s="248" t="str">
        <f>IF(AND($C51&lt;&gt;"",K51&lt;&gt;"Full Refresher"),'G2 FIL Reading Scoresheet'!$R53/6,"")</f>
        <v/>
      </c>
      <c r="O51" s="57" t="str">
        <f>IF(AND(C51&lt;&gt;"",K51&lt;&gt;"Full Refresher"),'G2 FIL Reading Scoresheet'!$P53,"")</f>
        <v/>
      </c>
      <c r="P51" s="251" t="str">
        <f>'G2 FIL Reading Scoresheet'!$U53</f>
        <v/>
      </c>
      <c r="Q51" s="52" t="str">
        <f>CONCATENATE(IF(ISBLANK('G2 MT Reading Scoresheet'!V53),"",CONCATENATE("MT:",TRIM('G2 MT Reading Scoresheet'!V53)))," ",IF(ISBLANK('G2 FIL Reading Scoresheet'!V53),"",CONCATENATE("FIL:",TRIM('G2 FIL Reading Scoresheet'!V53))))</f>
        <v xml:space="preserve"> </v>
      </c>
    </row>
    <row r="52" spans="1:17" x14ac:dyDescent="0.3">
      <c r="A52" s="44">
        <v>44</v>
      </c>
      <c r="B52" s="45" t="str">
        <f>IF('G2 MT Reading Scoresheet'!B54&lt;&gt;"",'G2 MT Reading Scoresheet'!B54,"")</f>
        <v/>
      </c>
      <c r="C52" s="46" t="str">
        <f>IF('G2 MT Reading Scoresheet'!C54&lt;&gt;"",'G2 MT Reading Scoresheet'!C54,"")</f>
        <v/>
      </c>
      <c r="D52" s="47" t="str">
        <f>IF('G2 MT Reading Scoresheet'!D54&lt;&gt;"",'G2 MT Reading Scoresheet'!D54,"")</f>
        <v/>
      </c>
      <c r="E52" s="210" t="str">
        <f>'G2 MT Reading Scoresheet'!$J54</f>
        <v/>
      </c>
      <c r="F52" s="246" t="str">
        <f>IF(C52&lt;&gt;"",'G2 MT Reading Scoresheet'!$I54/30,"")</f>
        <v/>
      </c>
      <c r="G52" s="246" t="str">
        <f>IF(AND($C52&lt;&gt;"",$E52&lt;&gt;"Full Refresher"),'G2 MT Reading Scoresheet'!$Q54,"")</f>
        <v/>
      </c>
      <c r="H52" s="246" t="str">
        <f>IF(AND(C52&lt;&gt;"",E52&lt;&gt;"Full Refresher"),'G2 MT Reading Scoresheet'!$R54/6,"")</f>
        <v/>
      </c>
      <c r="I52" s="210" t="str">
        <f>IF(AND(D52&lt;&gt;"",F52&lt;&gt;"Full Refresher"),'G2 MT Reading Scoresheet'!$P54,"")</f>
        <v/>
      </c>
      <c r="J52" s="250" t="str">
        <f>'G2 MT Reading Scoresheet'!$U54</f>
        <v/>
      </c>
      <c r="K52" s="57" t="str">
        <f>'G2 FIL Reading Scoresheet'!$J54</f>
        <v/>
      </c>
      <c r="L52" s="248" t="str">
        <f>IF($C52&lt;&gt;"",'G2 FIL Reading Scoresheet'!$I54/30,"")</f>
        <v/>
      </c>
      <c r="M52" s="248" t="str">
        <f>IF(AND($C52&lt;&gt;"",$K52&lt;&gt;"Full Refresher"),'G2 FIL Reading Scoresheet'!$Q54,"")</f>
        <v/>
      </c>
      <c r="N52" s="248" t="str">
        <f>IF(AND($C52&lt;&gt;"",K52&lt;&gt;"Full Refresher"),'G2 FIL Reading Scoresheet'!$R54/6,"")</f>
        <v/>
      </c>
      <c r="O52" s="57" t="str">
        <f>IF(AND(C52&lt;&gt;"",K52&lt;&gt;"Full Refresher"),'G2 FIL Reading Scoresheet'!$P54,"")</f>
        <v/>
      </c>
      <c r="P52" s="251" t="str">
        <f>'G2 FIL Reading Scoresheet'!$U54</f>
        <v/>
      </c>
      <c r="Q52" s="48" t="str">
        <f>CONCATENATE(IF(ISBLANK('G2 MT Reading Scoresheet'!V54),"",CONCATENATE("MT:",TRIM('G2 MT Reading Scoresheet'!V54)))," ",IF(ISBLANK('G2 FIL Reading Scoresheet'!V54),"",CONCATENATE("FIL:",TRIM('G2 FIL Reading Scoresheet'!V54))))</f>
        <v xml:space="preserve"> </v>
      </c>
    </row>
    <row r="53" spans="1:17" x14ac:dyDescent="0.3">
      <c r="A53" s="43">
        <v>45</v>
      </c>
      <c r="B53" s="49" t="str">
        <f>IF('G2 MT Reading Scoresheet'!B55&lt;&gt;"",'G2 MT Reading Scoresheet'!B55,"")</f>
        <v/>
      </c>
      <c r="C53" s="50" t="str">
        <f>IF('G2 MT Reading Scoresheet'!C55&lt;&gt;"",'G2 MT Reading Scoresheet'!C55,"")</f>
        <v/>
      </c>
      <c r="D53" s="51" t="str">
        <f>IF('G2 MT Reading Scoresheet'!D55&lt;&gt;"",'G2 MT Reading Scoresheet'!D55,"")</f>
        <v/>
      </c>
      <c r="E53" s="210" t="str">
        <f>'G2 MT Reading Scoresheet'!$J55</f>
        <v/>
      </c>
      <c r="F53" s="246" t="str">
        <f>IF(C53&lt;&gt;"",'G2 MT Reading Scoresheet'!$I55/30,"")</f>
        <v/>
      </c>
      <c r="G53" s="246" t="str">
        <f>IF(AND($C53&lt;&gt;"",$E53&lt;&gt;"Full Refresher"),'G2 MT Reading Scoresheet'!$Q55,"")</f>
        <v/>
      </c>
      <c r="H53" s="246" t="str">
        <f>IF(AND(C53&lt;&gt;"",E53&lt;&gt;"Full Refresher"),'G2 MT Reading Scoresheet'!$R55/6,"")</f>
        <v/>
      </c>
      <c r="I53" s="210" t="str">
        <f>IF(AND(D53&lt;&gt;"",F53&lt;&gt;"Full Refresher"),'G2 MT Reading Scoresheet'!$P55,"")</f>
        <v/>
      </c>
      <c r="J53" s="250" t="str">
        <f>'G2 MT Reading Scoresheet'!$U55</f>
        <v/>
      </c>
      <c r="K53" s="57" t="str">
        <f>'G2 FIL Reading Scoresheet'!$J55</f>
        <v/>
      </c>
      <c r="L53" s="248" t="str">
        <f>IF($C53&lt;&gt;"",'G2 FIL Reading Scoresheet'!$I55/30,"")</f>
        <v/>
      </c>
      <c r="M53" s="248" t="str">
        <f>IF(AND($C53&lt;&gt;"",$K53&lt;&gt;"Full Refresher"),'G2 FIL Reading Scoresheet'!$Q55,"")</f>
        <v/>
      </c>
      <c r="N53" s="248" t="str">
        <f>IF(AND($C53&lt;&gt;"",K53&lt;&gt;"Full Refresher"),'G2 FIL Reading Scoresheet'!$R55/6,"")</f>
        <v/>
      </c>
      <c r="O53" s="57" t="str">
        <f>IF(AND(C53&lt;&gt;"",K53&lt;&gt;"Full Refresher"),'G2 FIL Reading Scoresheet'!$P55,"")</f>
        <v/>
      </c>
      <c r="P53" s="251" t="str">
        <f>'G2 FIL Reading Scoresheet'!$U55</f>
        <v/>
      </c>
      <c r="Q53" s="52" t="str">
        <f>CONCATENATE(IF(ISBLANK('G2 MT Reading Scoresheet'!V55),"",CONCATENATE("MT:",TRIM('G2 MT Reading Scoresheet'!V55)))," ",IF(ISBLANK('G2 FIL Reading Scoresheet'!V55),"",CONCATENATE("FIL:",TRIM('G2 FIL Reading Scoresheet'!V55))))</f>
        <v xml:space="preserve"> </v>
      </c>
    </row>
    <row r="54" spans="1:17" x14ac:dyDescent="0.3">
      <c r="A54" s="44">
        <v>46</v>
      </c>
      <c r="B54" s="45" t="str">
        <f>IF('G2 MT Reading Scoresheet'!B56&lt;&gt;"",'G2 MT Reading Scoresheet'!B56,"")</f>
        <v/>
      </c>
      <c r="C54" s="46" t="str">
        <f>IF('G2 MT Reading Scoresheet'!C56&lt;&gt;"",'G2 MT Reading Scoresheet'!C56,"")</f>
        <v/>
      </c>
      <c r="D54" s="47" t="str">
        <f>IF('G2 MT Reading Scoresheet'!D56&lt;&gt;"",'G2 MT Reading Scoresheet'!D56,"")</f>
        <v/>
      </c>
      <c r="E54" s="210" t="str">
        <f>'G2 MT Reading Scoresheet'!$J56</f>
        <v/>
      </c>
      <c r="F54" s="246" t="str">
        <f>IF(C54&lt;&gt;"",'G2 MT Reading Scoresheet'!$I56/30,"")</f>
        <v/>
      </c>
      <c r="G54" s="246" t="str">
        <f>IF(AND($C54&lt;&gt;"",$E54&lt;&gt;"Full Refresher"),'G2 MT Reading Scoresheet'!$Q56,"")</f>
        <v/>
      </c>
      <c r="H54" s="246" t="str">
        <f>IF(AND(C54&lt;&gt;"",E54&lt;&gt;"Full Refresher"),'G2 MT Reading Scoresheet'!$R56/6,"")</f>
        <v/>
      </c>
      <c r="I54" s="210" t="str">
        <f>IF(AND(D54&lt;&gt;"",F54&lt;&gt;"Full Refresher"),'G2 MT Reading Scoresheet'!$P56,"")</f>
        <v/>
      </c>
      <c r="J54" s="250" t="str">
        <f>'G2 MT Reading Scoresheet'!$U56</f>
        <v/>
      </c>
      <c r="K54" s="57" t="str">
        <f>'G2 FIL Reading Scoresheet'!$J56</f>
        <v/>
      </c>
      <c r="L54" s="248" t="str">
        <f>IF($C54&lt;&gt;"",'G2 FIL Reading Scoresheet'!$I56/30,"")</f>
        <v/>
      </c>
      <c r="M54" s="248" t="str">
        <f>IF(AND($C54&lt;&gt;"",$K54&lt;&gt;"Full Refresher"),'G2 FIL Reading Scoresheet'!$Q56,"")</f>
        <v/>
      </c>
      <c r="N54" s="248" t="str">
        <f>IF(AND($C54&lt;&gt;"",K54&lt;&gt;"Full Refresher"),'G2 FIL Reading Scoresheet'!$R56/6,"")</f>
        <v/>
      </c>
      <c r="O54" s="57" t="str">
        <f>IF(AND(C54&lt;&gt;"",K54&lt;&gt;"Full Refresher"),'G2 FIL Reading Scoresheet'!$P56,"")</f>
        <v/>
      </c>
      <c r="P54" s="251" t="str">
        <f>'G2 FIL Reading Scoresheet'!$U56</f>
        <v/>
      </c>
      <c r="Q54" s="48" t="str">
        <f>CONCATENATE(IF(ISBLANK('G2 MT Reading Scoresheet'!V56),"",CONCATENATE("MT:",TRIM('G2 MT Reading Scoresheet'!V56)))," ",IF(ISBLANK('G2 FIL Reading Scoresheet'!V56),"",CONCATENATE("FIL:",TRIM('G2 FIL Reading Scoresheet'!V56))))</f>
        <v xml:space="preserve"> </v>
      </c>
    </row>
    <row r="55" spans="1:17" x14ac:dyDescent="0.3">
      <c r="A55" s="43">
        <v>47</v>
      </c>
      <c r="B55" s="49" t="str">
        <f>IF('G2 MT Reading Scoresheet'!B57&lt;&gt;"",'G2 MT Reading Scoresheet'!B57,"")</f>
        <v/>
      </c>
      <c r="C55" s="50" t="str">
        <f>IF('G2 MT Reading Scoresheet'!C57&lt;&gt;"",'G2 MT Reading Scoresheet'!C57,"")</f>
        <v/>
      </c>
      <c r="D55" s="51" t="str">
        <f>IF('G2 MT Reading Scoresheet'!D57&lt;&gt;"",'G2 MT Reading Scoresheet'!D57,"")</f>
        <v/>
      </c>
      <c r="E55" s="210" t="str">
        <f>'G2 MT Reading Scoresheet'!$J57</f>
        <v/>
      </c>
      <c r="F55" s="246" t="str">
        <f>IF(C55&lt;&gt;"",'G2 MT Reading Scoresheet'!$I57/30,"")</f>
        <v/>
      </c>
      <c r="G55" s="246" t="str">
        <f>IF(AND($C55&lt;&gt;"",$E55&lt;&gt;"Full Refresher"),'G2 MT Reading Scoresheet'!$Q57,"")</f>
        <v/>
      </c>
      <c r="H55" s="246" t="str">
        <f>IF(AND(C55&lt;&gt;"",E55&lt;&gt;"Full Refresher"),'G2 MT Reading Scoresheet'!$R57/6,"")</f>
        <v/>
      </c>
      <c r="I55" s="210" t="str">
        <f>IF(AND(D55&lt;&gt;"",F55&lt;&gt;"Full Refresher"),'G2 MT Reading Scoresheet'!$P57,"")</f>
        <v/>
      </c>
      <c r="J55" s="250" t="str">
        <f>'G2 MT Reading Scoresheet'!$U57</f>
        <v/>
      </c>
      <c r="K55" s="57" t="str">
        <f>'G2 FIL Reading Scoresheet'!$J57</f>
        <v/>
      </c>
      <c r="L55" s="248" t="str">
        <f>IF($C55&lt;&gt;"",'G2 FIL Reading Scoresheet'!$I57/30,"")</f>
        <v/>
      </c>
      <c r="M55" s="248" t="str">
        <f>IF(AND($C55&lt;&gt;"",$K55&lt;&gt;"Full Refresher"),'G2 FIL Reading Scoresheet'!$Q57,"")</f>
        <v/>
      </c>
      <c r="N55" s="248" t="str">
        <f>IF(AND($C55&lt;&gt;"",K55&lt;&gt;"Full Refresher"),'G2 FIL Reading Scoresheet'!$R57/6,"")</f>
        <v/>
      </c>
      <c r="O55" s="57" t="str">
        <f>IF(AND(C55&lt;&gt;"",K55&lt;&gt;"Full Refresher"),'G2 FIL Reading Scoresheet'!$P57,"")</f>
        <v/>
      </c>
      <c r="P55" s="251" t="str">
        <f>'G2 FIL Reading Scoresheet'!$U57</f>
        <v/>
      </c>
      <c r="Q55" s="52" t="str">
        <f>CONCATENATE(IF(ISBLANK('G2 MT Reading Scoresheet'!V57),"",CONCATENATE("MT:",TRIM('G2 MT Reading Scoresheet'!V57)))," ",IF(ISBLANK('G2 FIL Reading Scoresheet'!V57),"",CONCATENATE("FIL:",TRIM('G2 FIL Reading Scoresheet'!V57))))</f>
        <v xml:space="preserve"> </v>
      </c>
    </row>
    <row r="56" spans="1:17" x14ac:dyDescent="0.3">
      <c r="A56" s="44">
        <v>48</v>
      </c>
      <c r="B56" s="45" t="str">
        <f>IF('G2 MT Reading Scoresheet'!B58&lt;&gt;"",'G2 MT Reading Scoresheet'!B58,"")</f>
        <v/>
      </c>
      <c r="C56" s="46" t="str">
        <f>IF('G2 MT Reading Scoresheet'!C58&lt;&gt;"",'G2 MT Reading Scoresheet'!C58,"")</f>
        <v/>
      </c>
      <c r="D56" s="47" t="str">
        <f>IF('G2 MT Reading Scoresheet'!D58&lt;&gt;"",'G2 MT Reading Scoresheet'!D58,"")</f>
        <v/>
      </c>
      <c r="E56" s="210" t="str">
        <f>'G2 MT Reading Scoresheet'!$J58</f>
        <v/>
      </c>
      <c r="F56" s="246" t="str">
        <f>IF(C56&lt;&gt;"",'G2 MT Reading Scoresheet'!$I58/30,"")</f>
        <v/>
      </c>
      <c r="G56" s="246" t="str">
        <f>IF(AND($C56&lt;&gt;"",$E56&lt;&gt;"Full Refresher"),'G2 MT Reading Scoresheet'!$Q58,"")</f>
        <v/>
      </c>
      <c r="H56" s="246" t="str">
        <f>IF(AND(C56&lt;&gt;"",E56&lt;&gt;"Full Refresher"),'G2 MT Reading Scoresheet'!$R58/6,"")</f>
        <v/>
      </c>
      <c r="I56" s="210" t="str">
        <f>IF(AND(D56&lt;&gt;"",F56&lt;&gt;"Full Refresher"),'G2 MT Reading Scoresheet'!$P58,"")</f>
        <v/>
      </c>
      <c r="J56" s="250" t="str">
        <f>'G2 MT Reading Scoresheet'!$U58</f>
        <v/>
      </c>
      <c r="K56" s="57" t="str">
        <f>'G2 FIL Reading Scoresheet'!$J58</f>
        <v/>
      </c>
      <c r="L56" s="248" t="str">
        <f>IF($C56&lt;&gt;"",'G2 FIL Reading Scoresheet'!$I58/30,"")</f>
        <v/>
      </c>
      <c r="M56" s="248" t="str">
        <f>IF(AND($C56&lt;&gt;"",$K56&lt;&gt;"Full Refresher"),'G2 FIL Reading Scoresheet'!$Q58,"")</f>
        <v/>
      </c>
      <c r="N56" s="248" t="str">
        <f>IF(AND($C56&lt;&gt;"",K56&lt;&gt;"Full Refresher"),'G2 FIL Reading Scoresheet'!$R58/6,"")</f>
        <v/>
      </c>
      <c r="O56" s="57" t="str">
        <f>IF(AND(C56&lt;&gt;"",K56&lt;&gt;"Full Refresher"),'G2 FIL Reading Scoresheet'!$P58,"")</f>
        <v/>
      </c>
      <c r="P56" s="251" t="str">
        <f>'G2 FIL Reading Scoresheet'!$U58</f>
        <v/>
      </c>
      <c r="Q56" s="48" t="str">
        <f>CONCATENATE(IF(ISBLANK('G2 MT Reading Scoresheet'!V58),"",CONCATENATE("MT:",TRIM('G2 MT Reading Scoresheet'!V58)))," ",IF(ISBLANK('G2 FIL Reading Scoresheet'!V58),"",CONCATENATE("FIL:",TRIM('G2 FIL Reading Scoresheet'!V58))))</f>
        <v xml:space="preserve"> </v>
      </c>
    </row>
    <row r="57" spans="1:17" x14ac:dyDescent="0.3">
      <c r="A57" s="43">
        <v>49</v>
      </c>
      <c r="B57" s="49" t="str">
        <f>IF('G2 MT Reading Scoresheet'!B59&lt;&gt;"",'G2 MT Reading Scoresheet'!B59,"")</f>
        <v/>
      </c>
      <c r="C57" s="50" t="str">
        <f>IF('G2 MT Reading Scoresheet'!C59&lt;&gt;"",'G2 MT Reading Scoresheet'!C59,"")</f>
        <v/>
      </c>
      <c r="D57" s="51" t="str">
        <f>IF('G2 MT Reading Scoresheet'!D59&lt;&gt;"",'G2 MT Reading Scoresheet'!D59,"")</f>
        <v/>
      </c>
      <c r="E57" s="210" t="str">
        <f>'G2 MT Reading Scoresheet'!$J59</f>
        <v/>
      </c>
      <c r="F57" s="246" t="str">
        <f>IF(C57&lt;&gt;"",'G2 MT Reading Scoresheet'!$I59/30,"")</f>
        <v/>
      </c>
      <c r="G57" s="246" t="str">
        <f>IF(AND($C57&lt;&gt;"",$E57&lt;&gt;"Full Refresher"),'G2 MT Reading Scoresheet'!$Q59,"")</f>
        <v/>
      </c>
      <c r="H57" s="246" t="str">
        <f>IF(AND(C57&lt;&gt;"",E57&lt;&gt;"Full Refresher"),'G2 MT Reading Scoresheet'!$R59/6,"")</f>
        <v/>
      </c>
      <c r="I57" s="210" t="str">
        <f>IF(AND(D57&lt;&gt;"",F57&lt;&gt;"Full Refresher"),'G2 MT Reading Scoresheet'!$P59,"")</f>
        <v/>
      </c>
      <c r="J57" s="250" t="str">
        <f>'G2 MT Reading Scoresheet'!$U59</f>
        <v/>
      </c>
      <c r="K57" s="57" t="str">
        <f>'G2 FIL Reading Scoresheet'!$J59</f>
        <v/>
      </c>
      <c r="L57" s="248" t="str">
        <f>IF($C57&lt;&gt;"",'G2 FIL Reading Scoresheet'!$I59/30,"")</f>
        <v/>
      </c>
      <c r="M57" s="248" t="str">
        <f>IF(AND($C57&lt;&gt;"",$K57&lt;&gt;"Full Refresher"),'G2 FIL Reading Scoresheet'!$Q59,"")</f>
        <v/>
      </c>
      <c r="N57" s="248" t="str">
        <f>IF(AND($C57&lt;&gt;"",K57&lt;&gt;"Full Refresher"),'G2 FIL Reading Scoresheet'!$R59/6,"")</f>
        <v/>
      </c>
      <c r="O57" s="57" t="str">
        <f>IF(AND(C57&lt;&gt;"",K57&lt;&gt;"Full Refresher"),'G2 FIL Reading Scoresheet'!$P59,"")</f>
        <v/>
      </c>
      <c r="P57" s="251" t="str">
        <f>'G2 FIL Reading Scoresheet'!$U59</f>
        <v/>
      </c>
      <c r="Q57" s="52" t="str">
        <f>CONCATENATE(IF(ISBLANK('G2 MT Reading Scoresheet'!V59),"",CONCATENATE("MT:",TRIM('G2 MT Reading Scoresheet'!V59)))," ",IF(ISBLANK('G2 FIL Reading Scoresheet'!V59),"",CONCATENATE("FIL:",TRIM('G2 FIL Reading Scoresheet'!V59))))</f>
        <v xml:space="preserve"> </v>
      </c>
    </row>
    <row r="58" spans="1:17" x14ac:dyDescent="0.3">
      <c r="A58" s="44">
        <v>50</v>
      </c>
      <c r="B58" s="45" t="str">
        <f>IF('G2 MT Reading Scoresheet'!B60&lt;&gt;"",'G2 MT Reading Scoresheet'!B60,"")</f>
        <v/>
      </c>
      <c r="C58" s="46" t="str">
        <f>IF('G2 MT Reading Scoresheet'!C60&lt;&gt;"",'G2 MT Reading Scoresheet'!C60,"")</f>
        <v/>
      </c>
      <c r="D58" s="47" t="str">
        <f>IF('G2 MT Reading Scoresheet'!D60&lt;&gt;"",'G2 MT Reading Scoresheet'!D60,"")</f>
        <v/>
      </c>
      <c r="E58" s="210" t="str">
        <f>'G2 MT Reading Scoresheet'!$J60</f>
        <v/>
      </c>
      <c r="F58" s="246" t="str">
        <f>IF(C58&lt;&gt;"",'G2 MT Reading Scoresheet'!$I60/30,"")</f>
        <v/>
      </c>
      <c r="G58" s="246" t="str">
        <f>IF(AND($C58&lt;&gt;"",$E58&lt;&gt;"Full Refresher"),'G2 MT Reading Scoresheet'!$Q60,"")</f>
        <v/>
      </c>
      <c r="H58" s="246" t="str">
        <f>IF(AND(C58&lt;&gt;"",E58&lt;&gt;"Full Refresher"),'G2 MT Reading Scoresheet'!$R60/6,"")</f>
        <v/>
      </c>
      <c r="I58" s="210" t="str">
        <f>IF(AND(D58&lt;&gt;"",F58&lt;&gt;"Full Refresher"),'G2 MT Reading Scoresheet'!$P60,"")</f>
        <v/>
      </c>
      <c r="J58" s="250" t="str">
        <f>'G2 MT Reading Scoresheet'!$U60</f>
        <v/>
      </c>
      <c r="K58" s="57" t="str">
        <f>'G2 FIL Reading Scoresheet'!$J60</f>
        <v/>
      </c>
      <c r="L58" s="248" t="str">
        <f>IF($C58&lt;&gt;"",'G2 FIL Reading Scoresheet'!$I60/30,"")</f>
        <v/>
      </c>
      <c r="M58" s="248" t="str">
        <f>IF(AND($C58&lt;&gt;"",$K58&lt;&gt;"Full Refresher"),'G2 FIL Reading Scoresheet'!$Q60,"")</f>
        <v/>
      </c>
      <c r="N58" s="248" t="str">
        <f>IF(AND($C58&lt;&gt;"",K58&lt;&gt;"Full Refresher"),'G2 FIL Reading Scoresheet'!$R60/6,"")</f>
        <v/>
      </c>
      <c r="O58" s="57" t="str">
        <f>IF(AND(C58&lt;&gt;"",K58&lt;&gt;"Full Refresher"),'G2 FIL Reading Scoresheet'!$P60,"")</f>
        <v/>
      </c>
      <c r="P58" s="251" t="str">
        <f>'G2 FIL Reading Scoresheet'!$U60</f>
        <v/>
      </c>
      <c r="Q58" s="48" t="str">
        <f>CONCATENATE(IF(ISBLANK('G2 MT Reading Scoresheet'!V60),"",CONCATENATE("MT:",TRIM('G2 MT Reading Scoresheet'!V60)))," ",IF(ISBLANK('G2 FIL Reading Scoresheet'!V60),"",CONCATENATE("FIL:",TRIM('G2 FIL Reading Scoresheet'!V60))))</f>
        <v xml:space="preserve"> </v>
      </c>
    </row>
    <row r="59" spans="1:17" x14ac:dyDescent="0.3">
      <c r="A59" s="43">
        <v>51</v>
      </c>
      <c r="B59" s="49" t="str">
        <f>IF('G2 MT Reading Scoresheet'!B61&lt;&gt;"",'G2 MT Reading Scoresheet'!B61,"")</f>
        <v/>
      </c>
      <c r="C59" s="50" t="str">
        <f>IF('G2 MT Reading Scoresheet'!C61&lt;&gt;"",'G2 MT Reading Scoresheet'!C61,"")</f>
        <v/>
      </c>
      <c r="D59" s="51" t="str">
        <f>IF('G2 MT Reading Scoresheet'!D61&lt;&gt;"",'G2 MT Reading Scoresheet'!D61,"")</f>
        <v/>
      </c>
      <c r="E59" s="210" t="str">
        <f>'G2 MT Reading Scoresheet'!$J61</f>
        <v/>
      </c>
      <c r="F59" s="246" t="str">
        <f>IF(C59&lt;&gt;"",'G2 MT Reading Scoresheet'!$I61/30,"")</f>
        <v/>
      </c>
      <c r="G59" s="246" t="str">
        <f>IF(AND($C59&lt;&gt;"",$E59&lt;&gt;"Full Refresher"),'G2 MT Reading Scoresheet'!$Q61,"")</f>
        <v/>
      </c>
      <c r="H59" s="246" t="str">
        <f>IF(AND(C59&lt;&gt;"",E59&lt;&gt;"Full Refresher"),'G2 MT Reading Scoresheet'!$R61/6,"")</f>
        <v/>
      </c>
      <c r="I59" s="210" t="str">
        <f>IF(AND(D59&lt;&gt;"",F59&lt;&gt;"Full Refresher"),'G2 MT Reading Scoresheet'!$P61,"")</f>
        <v/>
      </c>
      <c r="J59" s="250" t="str">
        <f>'G2 MT Reading Scoresheet'!$U61</f>
        <v/>
      </c>
      <c r="K59" s="57" t="str">
        <f>'G2 FIL Reading Scoresheet'!$J61</f>
        <v/>
      </c>
      <c r="L59" s="248" t="str">
        <f>IF($C59&lt;&gt;"",'G2 FIL Reading Scoresheet'!$I61/30,"")</f>
        <v/>
      </c>
      <c r="M59" s="248" t="str">
        <f>IF(AND($C59&lt;&gt;"",$K59&lt;&gt;"Full Refresher"),'G2 FIL Reading Scoresheet'!$Q61,"")</f>
        <v/>
      </c>
      <c r="N59" s="248" t="str">
        <f>IF(AND($C59&lt;&gt;"",K59&lt;&gt;"Full Refresher"),'G2 FIL Reading Scoresheet'!$R61/6,"")</f>
        <v/>
      </c>
      <c r="O59" s="57" t="str">
        <f>IF(AND(C59&lt;&gt;"",K59&lt;&gt;"Full Refresher"),'G2 FIL Reading Scoresheet'!$P61,"")</f>
        <v/>
      </c>
      <c r="P59" s="251" t="str">
        <f>'G2 FIL Reading Scoresheet'!$U61</f>
        <v/>
      </c>
      <c r="Q59" s="52" t="str">
        <f>CONCATENATE(IF(ISBLANK('G2 MT Reading Scoresheet'!V61),"",CONCATENATE("MT:",TRIM('G2 MT Reading Scoresheet'!V61)))," ",IF(ISBLANK('G2 FIL Reading Scoresheet'!V61),"",CONCATENATE("FIL:",TRIM('G2 FIL Reading Scoresheet'!V61))))</f>
        <v xml:space="preserve"> </v>
      </c>
    </row>
    <row r="60" spans="1:17" x14ac:dyDescent="0.3">
      <c r="A60" s="44">
        <v>52</v>
      </c>
      <c r="B60" s="45" t="str">
        <f>IF('G2 MT Reading Scoresheet'!B62&lt;&gt;"",'G2 MT Reading Scoresheet'!B62,"")</f>
        <v/>
      </c>
      <c r="C60" s="46" t="str">
        <f>IF('G2 MT Reading Scoresheet'!C62&lt;&gt;"",'G2 MT Reading Scoresheet'!C62,"")</f>
        <v/>
      </c>
      <c r="D60" s="47" t="str">
        <f>IF('G2 MT Reading Scoresheet'!D62&lt;&gt;"",'G2 MT Reading Scoresheet'!D62,"")</f>
        <v/>
      </c>
      <c r="E60" s="210" t="str">
        <f>'G2 MT Reading Scoresheet'!$J62</f>
        <v/>
      </c>
      <c r="F60" s="246" t="str">
        <f>IF(C60&lt;&gt;"",'G2 MT Reading Scoresheet'!$I62/30,"")</f>
        <v/>
      </c>
      <c r="G60" s="246" t="str">
        <f>IF(AND($C60&lt;&gt;"",$E60&lt;&gt;"Full Refresher"),'G2 MT Reading Scoresheet'!$Q62,"")</f>
        <v/>
      </c>
      <c r="H60" s="246" t="str">
        <f>IF(AND(C60&lt;&gt;"",E60&lt;&gt;"Full Refresher"),'G2 MT Reading Scoresheet'!$R62/6,"")</f>
        <v/>
      </c>
      <c r="I60" s="210" t="str">
        <f>IF(AND(D60&lt;&gt;"",F60&lt;&gt;"Full Refresher"),'G2 MT Reading Scoresheet'!$P62,"")</f>
        <v/>
      </c>
      <c r="J60" s="250" t="str">
        <f>'G2 MT Reading Scoresheet'!$U62</f>
        <v/>
      </c>
      <c r="K60" s="57" t="str">
        <f>'G2 FIL Reading Scoresheet'!$J62</f>
        <v/>
      </c>
      <c r="L60" s="248" t="str">
        <f>IF($C60&lt;&gt;"",'G2 FIL Reading Scoresheet'!$I62/30,"")</f>
        <v/>
      </c>
      <c r="M60" s="248" t="str">
        <f>IF(AND($C60&lt;&gt;"",$K60&lt;&gt;"Full Refresher"),'G2 FIL Reading Scoresheet'!$Q62,"")</f>
        <v/>
      </c>
      <c r="N60" s="248" t="str">
        <f>IF(AND($C60&lt;&gt;"",K60&lt;&gt;"Full Refresher"),'G2 FIL Reading Scoresheet'!$R62/6,"")</f>
        <v/>
      </c>
      <c r="O60" s="57" t="str">
        <f>IF(AND(C60&lt;&gt;"",K60&lt;&gt;"Full Refresher"),'G2 FIL Reading Scoresheet'!$P62,"")</f>
        <v/>
      </c>
      <c r="P60" s="251" t="str">
        <f>'G2 FIL Reading Scoresheet'!$U62</f>
        <v/>
      </c>
      <c r="Q60" s="48" t="str">
        <f>CONCATENATE(IF(ISBLANK('G2 MT Reading Scoresheet'!V62),"",CONCATENATE("MT:",TRIM('G2 MT Reading Scoresheet'!V62)))," ",IF(ISBLANK('G2 FIL Reading Scoresheet'!V62),"",CONCATENATE("FIL:",TRIM('G2 FIL Reading Scoresheet'!V62))))</f>
        <v xml:space="preserve"> </v>
      </c>
    </row>
    <row r="61" spans="1:17" x14ac:dyDescent="0.3">
      <c r="A61" s="43">
        <v>53</v>
      </c>
      <c r="B61" s="49" t="str">
        <f>IF('G2 MT Reading Scoresheet'!B63&lt;&gt;"",'G2 MT Reading Scoresheet'!B63,"")</f>
        <v/>
      </c>
      <c r="C61" s="50" t="str">
        <f>IF('G2 MT Reading Scoresheet'!C63&lt;&gt;"",'G2 MT Reading Scoresheet'!C63,"")</f>
        <v/>
      </c>
      <c r="D61" s="51" t="str">
        <f>IF('G2 MT Reading Scoresheet'!D63&lt;&gt;"",'G2 MT Reading Scoresheet'!D63,"")</f>
        <v/>
      </c>
      <c r="E61" s="210" t="str">
        <f>'G2 MT Reading Scoresheet'!$J63</f>
        <v/>
      </c>
      <c r="F61" s="246" t="str">
        <f>IF(C61&lt;&gt;"",'G2 MT Reading Scoresheet'!$I63/30,"")</f>
        <v/>
      </c>
      <c r="G61" s="246" t="str">
        <f>IF(AND($C61&lt;&gt;"",$E61&lt;&gt;"Full Refresher"),'G2 MT Reading Scoresheet'!$Q63,"")</f>
        <v/>
      </c>
      <c r="H61" s="246" t="str">
        <f>IF(AND(C61&lt;&gt;"",E61&lt;&gt;"Full Refresher"),'G2 MT Reading Scoresheet'!$R63/6,"")</f>
        <v/>
      </c>
      <c r="I61" s="210" t="str">
        <f>IF(AND(D61&lt;&gt;"",F61&lt;&gt;"Full Refresher"),'G2 MT Reading Scoresheet'!$P63,"")</f>
        <v/>
      </c>
      <c r="J61" s="250" t="str">
        <f>'G2 MT Reading Scoresheet'!$U63</f>
        <v/>
      </c>
      <c r="K61" s="57" t="str">
        <f>'G2 FIL Reading Scoresheet'!$J63</f>
        <v/>
      </c>
      <c r="L61" s="248" t="str">
        <f>IF($C61&lt;&gt;"",'G2 FIL Reading Scoresheet'!$I63/30,"")</f>
        <v/>
      </c>
      <c r="M61" s="248" t="str">
        <f>IF(AND($C61&lt;&gt;"",$K61&lt;&gt;"Full Refresher"),'G2 FIL Reading Scoresheet'!$Q63,"")</f>
        <v/>
      </c>
      <c r="N61" s="248" t="str">
        <f>IF(AND($C61&lt;&gt;"",K61&lt;&gt;"Full Refresher"),'G2 FIL Reading Scoresheet'!$R63/6,"")</f>
        <v/>
      </c>
      <c r="O61" s="57" t="str">
        <f>IF(AND(C61&lt;&gt;"",K61&lt;&gt;"Full Refresher"),'G2 FIL Reading Scoresheet'!$P63,"")</f>
        <v/>
      </c>
      <c r="P61" s="251" t="str">
        <f>'G2 FIL Reading Scoresheet'!$U63</f>
        <v/>
      </c>
      <c r="Q61" s="52" t="str">
        <f>CONCATENATE(IF(ISBLANK('G2 MT Reading Scoresheet'!V63),"",CONCATENATE("MT:",TRIM('G2 MT Reading Scoresheet'!V63)))," ",IF(ISBLANK('G2 FIL Reading Scoresheet'!V63),"",CONCATENATE("FIL:",TRIM('G2 FIL Reading Scoresheet'!V63))))</f>
        <v xml:space="preserve"> </v>
      </c>
    </row>
    <row r="62" spans="1:17" x14ac:dyDescent="0.3">
      <c r="A62" s="44">
        <v>54</v>
      </c>
      <c r="B62" s="45" t="str">
        <f>IF('G2 MT Reading Scoresheet'!B64&lt;&gt;"",'G2 MT Reading Scoresheet'!B64,"")</f>
        <v/>
      </c>
      <c r="C62" s="46" t="str">
        <f>IF('G2 MT Reading Scoresheet'!C64&lt;&gt;"",'G2 MT Reading Scoresheet'!C64,"")</f>
        <v/>
      </c>
      <c r="D62" s="47" t="str">
        <f>IF('G2 MT Reading Scoresheet'!D64&lt;&gt;"",'G2 MT Reading Scoresheet'!D64,"")</f>
        <v/>
      </c>
      <c r="E62" s="210" t="str">
        <f>'G2 MT Reading Scoresheet'!$J64</f>
        <v/>
      </c>
      <c r="F62" s="246" t="str">
        <f>IF(C62&lt;&gt;"",'G2 MT Reading Scoresheet'!$I64/30,"")</f>
        <v/>
      </c>
      <c r="G62" s="246" t="str">
        <f>IF(AND($C62&lt;&gt;"",$E62&lt;&gt;"Full Refresher"),'G2 MT Reading Scoresheet'!$Q64,"")</f>
        <v/>
      </c>
      <c r="H62" s="246" t="str">
        <f>IF(AND(C62&lt;&gt;"",E62&lt;&gt;"Full Refresher"),'G2 MT Reading Scoresheet'!$R64/6,"")</f>
        <v/>
      </c>
      <c r="I62" s="210" t="str">
        <f>IF(AND(D62&lt;&gt;"",F62&lt;&gt;"Full Refresher"),'G2 MT Reading Scoresheet'!$P64,"")</f>
        <v/>
      </c>
      <c r="J62" s="250" t="str">
        <f>'G2 MT Reading Scoresheet'!$U64</f>
        <v/>
      </c>
      <c r="K62" s="57" t="str">
        <f>'G2 FIL Reading Scoresheet'!$J64</f>
        <v/>
      </c>
      <c r="L62" s="248" t="str">
        <f>IF($C62&lt;&gt;"",'G2 FIL Reading Scoresheet'!$I64/30,"")</f>
        <v/>
      </c>
      <c r="M62" s="248" t="str">
        <f>IF(AND($C62&lt;&gt;"",$K62&lt;&gt;"Full Refresher"),'G2 FIL Reading Scoresheet'!$Q64,"")</f>
        <v/>
      </c>
      <c r="N62" s="248" t="str">
        <f>IF(AND($C62&lt;&gt;"",K62&lt;&gt;"Full Refresher"),'G2 FIL Reading Scoresheet'!$R64/6,"")</f>
        <v/>
      </c>
      <c r="O62" s="57" t="str">
        <f>IF(AND(C62&lt;&gt;"",K62&lt;&gt;"Full Refresher"),'G2 FIL Reading Scoresheet'!$P64,"")</f>
        <v/>
      </c>
      <c r="P62" s="251" t="str">
        <f>'G2 FIL Reading Scoresheet'!$U64</f>
        <v/>
      </c>
      <c r="Q62" s="48" t="str">
        <f>CONCATENATE(IF(ISBLANK('G2 MT Reading Scoresheet'!V64),"",CONCATENATE("MT:",TRIM('G2 MT Reading Scoresheet'!V64)))," ",IF(ISBLANK('G2 FIL Reading Scoresheet'!V64),"",CONCATENATE("FIL:",TRIM('G2 FIL Reading Scoresheet'!V64))))</f>
        <v xml:space="preserve"> </v>
      </c>
    </row>
    <row r="63" spans="1:17" x14ac:dyDescent="0.3">
      <c r="A63" s="43">
        <v>55</v>
      </c>
      <c r="B63" s="49" t="str">
        <f>IF('G2 MT Reading Scoresheet'!B65&lt;&gt;"",'G2 MT Reading Scoresheet'!B65,"")</f>
        <v/>
      </c>
      <c r="C63" s="50" t="str">
        <f>IF('G2 MT Reading Scoresheet'!C65&lt;&gt;"",'G2 MT Reading Scoresheet'!C65,"")</f>
        <v/>
      </c>
      <c r="D63" s="51" t="str">
        <f>IF('G2 MT Reading Scoresheet'!D65&lt;&gt;"",'G2 MT Reading Scoresheet'!D65,"")</f>
        <v/>
      </c>
      <c r="E63" s="210" t="str">
        <f>'G2 MT Reading Scoresheet'!$J65</f>
        <v/>
      </c>
      <c r="F63" s="246" t="str">
        <f>IF(C63&lt;&gt;"",'G2 MT Reading Scoresheet'!$I65/30,"")</f>
        <v/>
      </c>
      <c r="G63" s="246" t="str">
        <f>IF(AND($C63&lt;&gt;"",$E63&lt;&gt;"Full Refresher"),'G2 MT Reading Scoresheet'!$Q65,"")</f>
        <v/>
      </c>
      <c r="H63" s="246" t="str">
        <f>IF(AND(C63&lt;&gt;"",E63&lt;&gt;"Full Refresher"),'G2 MT Reading Scoresheet'!$R65/6,"")</f>
        <v/>
      </c>
      <c r="I63" s="210" t="str">
        <f>IF(AND(D63&lt;&gt;"",F63&lt;&gt;"Full Refresher"),'G2 MT Reading Scoresheet'!$P65,"")</f>
        <v/>
      </c>
      <c r="J63" s="250" t="str">
        <f>'G2 MT Reading Scoresheet'!$U65</f>
        <v/>
      </c>
      <c r="K63" s="57" t="str">
        <f>'G2 FIL Reading Scoresheet'!$J65</f>
        <v/>
      </c>
      <c r="L63" s="248" t="str">
        <f>IF($C63&lt;&gt;"",'G2 FIL Reading Scoresheet'!$I65/30,"")</f>
        <v/>
      </c>
      <c r="M63" s="248" t="str">
        <f>IF(AND($C63&lt;&gt;"",$K63&lt;&gt;"Full Refresher"),'G2 FIL Reading Scoresheet'!$Q65,"")</f>
        <v/>
      </c>
      <c r="N63" s="248" t="str">
        <f>IF(AND($C63&lt;&gt;"",K63&lt;&gt;"Full Refresher"),'G2 FIL Reading Scoresheet'!$R65/6,"")</f>
        <v/>
      </c>
      <c r="O63" s="57" t="str">
        <f>IF(AND(C63&lt;&gt;"",K63&lt;&gt;"Full Refresher"),'G2 FIL Reading Scoresheet'!$P65,"")</f>
        <v/>
      </c>
      <c r="P63" s="251" t="str">
        <f>'G2 FIL Reading Scoresheet'!$U65</f>
        <v/>
      </c>
      <c r="Q63" s="52" t="str">
        <f>CONCATENATE(IF(ISBLANK('G2 MT Reading Scoresheet'!V65),"",CONCATENATE("MT:",TRIM('G2 MT Reading Scoresheet'!V65)))," ",IF(ISBLANK('G2 FIL Reading Scoresheet'!V65),"",CONCATENATE("FIL:",TRIM('G2 FIL Reading Scoresheet'!V65))))</f>
        <v xml:space="preserve"> </v>
      </c>
    </row>
    <row r="64" spans="1:17" x14ac:dyDescent="0.3">
      <c r="A64" s="44">
        <v>56</v>
      </c>
      <c r="B64" s="45" t="str">
        <f>IF('G2 MT Reading Scoresheet'!B66&lt;&gt;"",'G2 MT Reading Scoresheet'!B66,"")</f>
        <v/>
      </c>
      <c r="C64" s="46" t="str">
        <f>IF('G2 MT Reading Scoresheet'!C66&lt;&gt;"",'G2 MT Reading Scoresheet'!C66,"")</f>
        <v/>
      </c>
      <c r="D64" s="47" t="str">
        <f>IF('G2 MT Reading Scoresheet'!D66&lt;&gt;"",'G2 MT Reading Scoresheet'!D66,"")</f>
        <v/>
      </c>
      <c r="E64" s="210" t="str">
        <f>'G2 MT Reading Scoresheet'!$J66</f>
        <v/>
      </c>
      <c r="F64" s="246" t="str">
        <f>IF(C64&lt;&gt;"",'G2 MT Reading Scoresheet'!$I66/30,"")</f>
        <v/>
      </c>
      <c r="G64" s="246" t="str">
        <f>IF(AND($C64&lt;&gt;"",$E64&lt;&gt;"Full Refresher"),'G2 MT Reading Scoresheet'!$Q66,"")</f>
        <v/>
      </c>
      <c r="H64" s="246" t="str">
        <f>IF(AND(C64&lt;&gt;"",E64&lt;&gt;"Full Refresher"),'G2 MT Reading Scoresheet'!$R66/6,"")</f>
        <v/>
      </c>
      <c r="I64" s="210" t="str">
        <f>IF(AND(D64&lt;&gt;"",F64&lt;&gt;"Full Refresher"),'G2 MT Reading Scoresheet'!$P66,"")</f>
        <v/>
      </c>
      <c r="J64" s="250" t="str">
        <f>'G2 MT Reading Scoresheet'!$U66</f>
        <v/>
      </c>
      <c r="K64" s="57" t="str">
        <f>'G2 FIL Reading Scoresheet'!$J66</f>
        <v/>
      </c>
      <c r="L64" s="248" t="str">
        <f>IF($C64&lt;&gt;"",'G2 FIL Reading Scoresheet'!$I66/30,"")</f>
        <v/>
      </c>
      <c r="M64" s="248" t="str">
        <f>IF(AND($C64&lt;&gt;"",$K64&lt;&gt;"Full Refresher"),'G2 FIL Reading Scoresheet'!$Q66,"")</f>
        <v/>
      </c>
      <c r="N64" s="248" t="str">
        <f>IF(AND($C64&lt;&gt;"",K64&lt;&gt;"Full Refresher"),'G2 FIL Reading Scoresheet'!$R66/6,"")</f>
        <v/>
      </c>
      <c r="O64" s="57" t="str">
        <f>IF(AND(C64&lt;&gt;"",K64&lt;&gt;"Full Refresher"),'G2 FIL Reading Scoresheet'!$P66,"")</f>
        <v/>
      </c>
      <c r="P64" s="251" t="str">
        <f>'G2 FIL Reading Scoresheet'!$U66</f>
        <v/>
      </c>
      <c r="Q64" s="48" t="str">
        <f>CONCATENATE(IF(ISBLANK('G2 MT Reading Scoresheet'!V66),"",CONCATENATE("MT:",TRIM('G2 MT Reading Scoresheet'!V66)))," ",IF(ISBLANK('G2 FIL Reading Scoresheet'!V66),"",CONCATENATE("FIL:",TRIM('G2 FIL Reading Scoresheet'!V66))))</f>
        <v xml:space="preserve"> </v>
      </c>
    </row>
    <row r="65" spans="1:17" x14ac:dyDescent="0.3">
      <c r="A65" s="43">
        <v>57</v>
      </c>
      <c r="B65" s="49" t="str">
        <f>IF('G2 MT Reading Scoresheet'!B67&lt;&gt;"",'G2 MT Reading Scoresheet'!B67,"")</f>
        <v/>
      </c>
      <c r="C65" s="50" t="str">
        <f>IF('G2 MT Reading Scoresheet'!C67&lt;&gt;"",'G2 MT Reading Scoresheet'!C67,"")</f>
        <v/>
      </c>
      <c r="D65" s="51" t="str">
        <f>IF('G2 MT Reading Scoresheet'!D67&lt;&gt;"",'G2 MT Reading Scoresheet'!D67,"")</f>
        <v/>
      </c>
      <c r="E65" s="210" t="str">
        <f>'G2 MT Reading Scoresheet'!$J67</f>
        <v/>
      </c>
      <c r="F65" s="246" t="str">
        <f>IF(C65&lt;&gt;"",'G2 MT Reading Scoresheet'!$I67/30,"")</f>
        <v/>
      </c>
      <c r="G65" s="246" t="str">
        <f>IF(AND($C65&lt;&gt;"",$E65&lt;&gt;"Full Refresher"),'G2 MT Reading Scoresheet'!$Q67,"")</f>
        <v/>
      </c>
      <c r="H65" s="246" t="str">
        <f>IF(AND(C65&lt;&gt;"",E65&lt;&gt;"Full Refresher"),'G2 MT Reading Scoresheet'!$R67/6,"")</f>
        <v/>
      </c>
      <c r="I65" s="210" t="str">
        <f>IF(AND(D65&lt;&gt;"",F65&lt;&gt;"Full Refresher"),'G2 MT Reading Scoresheet'!$P67,"")</f>
        <v/>
      </c>
      <c r="J65" s="250" t="str">
        <f>'G2 MT Reading Scoresheet'!$U67</f>
        <v/>
      </c>
      <c r="K65" s="57" t="str">
        <f>'G2 FIL Reading Scoresheet'!$J67</f>
        <v/>
      </c>
      <c r="L65" s="248" t="str">
        <f>IF($C65&lt;&gt;"",'G2 FIL Reading Scoresheet'!$I67/30,"")</f>
        <v/>
      </c>
      <c r="M65" s="248" t="str">
        <f>IF(AND($C65&lt;&gt;"",$K65&lt;&gt;"Full Refresher"),'G2 FIL Reading Scoresheet'!$Q67,"")</f>
        <v/>
      </c>
      <c r="N65" s="248" t="str">
        <f>IF(AND($C65&lt;&gt;"",K65&lt;&gt;"Full Refresher"),'G2 FIL Reading Scoresheet'!$R67/6,"")</f>
        <v/>
      </c>
      <c r="O65" s="57" t="str">
        <f>IF(AND(C65&lt;&gt;"",K65&lt;&gt;"Full Refresher"),'G2 FIL Reading Scoresheet'!$P67,"")</f>
        <v/>
      </c>
      <c r="P65" s="251" t="str">
        <f>'G2 FIL Reading Scoresheet'!$U67</f>
        <v/>
      </c>
      <c r="Q65" s="52" t="str">
        <f>CONCATENATE(IF(ISBLANK('G2 MT Reading Scoresheet'!V67),"",CONCATENATE("MT:",TRIM('G2 MT Reading Scoresheet'!V67)))," ",IF(ISBLANK('G2 FIL Reading Scoresheet'!V67),"",CONCATENATE("FIL:",TRIM('G2 FIL Reading Scoresheet'!V67))))</f>
        <v xml:space="preserve"> </v>
      </c>
    </row>
    <row r="66" spans="1:17" x14ac:dyDescent="0.3">
      <c r="A66" s="44">
        <v>58</v>
      </c>
      <c r="B66" s="45" t="str">
        <f>IF('G2 MT Reading Scoresheet'!B68&lt;&gt;"",'G2 MT Reading Scoresheet'!B68,"")</f>
        <v/>
      </c>
      <c r="C66" s="46" t="str">
        <f>IF('G2 MT Reading Scoresheet'!C68&lt;&gt;"",'G2 MT Reading Scoresheet'!C68,"")</f>
        <v/>
      </c>
      <c r="D66" s="47" t="str">
        <f>IF('G2 MT Reading Scoresheet'!D68&lt;&gt;"",'G2 MT Reading Scoresheet'!D68,"")</f>
        <v/>
      </c>
      <c r="E66" s="210" t="str">
        <f>'G2 MT Reading Scoresheet'!$J68</f>
        <v/>
      </c>
      <c r="F66" s="246" t="str">
        <f>IF(C66&lt;&gt;"",'G2 MT Reading Scoresheet'!$I68/30,"")</f>
        <v/>
      </c>
      <c r="G66" s="246" t="str">
        <f>IF(AND($C66&lt;&gt;"",$E66&lt;&gt;"Full Refresher"),'G2 MT Reading Scoresheet'!$Q68,"")</f>
        <v/>
      </c>
      <c r="H66" s="246" t="str">
        <f>IF(AND(C66&lt;&gt;"",E66&lt;&gt;"Full Refresher"),'G2 MT Reading Scoresheet'!$R68/6,"")</f>
        <v/>
      </c>
      <c r="I66" s="210" t="str">
        <f>IF(AND(D66&lt;&gt;"",F66&lt;&gt;"Full Refresher"),'G2 MT Reading Scoresheet'!$P68,"")</f>
        <v/>
      </c>
      <c r="J66" s="250" t="str">
        <f>'G2 MT Reading Scoresheet'!$U68</f>
        <v/>
      </c>
      <c r="K66" s="57" t="str">
        <f>'G2 FIL Reading Scoresheet'!$J68</f>
        <v/>
      </c>
      <c r="L66" s="248" t="str">
        <f>IF($C66&lt;&gt;"",'G2 FIL Reading Scoresheet'!$I68/30,"")</f>
        <v/>
      </c>
      <c r="M66" s="248" t="str">
        <f>IF(AND($C66&lt;&gt;"",$K66&lt;&gt;"Full Refresher"),'G2 FIL Reading Scoresheet'!$Q68,"")</f>
        <v/>
      </c>
      <c r="N66" s="248" t="str">
        <f>IF(AND($C66&lt;&gt;"",K66&lt;&gt;"Full Refresher"),'G2 FIL Reading Scoresheet'!$R68/6,"")</f>
        <v/>
      </c>
      <c r="O66" s="57" t="str">
        <f>IF(AND(C66&lt;&gt;"",K66&lt;&gt;"Full Refresher"),'G2 FIL Reading Scoresheet'!$P68,"")</f>
        <v/>
      </c>
      <c r="P66" s="251" t="str">
        <f>'G2 FIL Reading Scoresheet'!$U68</f>
        <v/>
      </c>
      <c r="Q66" s="48" t="str">
        <f>CONCATENATE(IF(ISBLANK('G2 MT Reading Scoresheet'!V68),"",CONCATENATE("MT:",TRIM('G2 MT Reading Scoresheet'!V68)))," ",IF(ISBLANK('G2 FIL Reading Scoresheet'!V68),"",CONCATENATE("FIL:",TRIM('G2 FIL Reading Scoresheet'!V68))))</f>
        <v xml:space="preserve"> </v>
      </c>
    </row>
    <row r="67" spans="1:17" x14ac:dyDescent="0.3">
      <c r="A67" s="43">
        <v>59</v>
      </c>
      <c r="B67" s="49" t="str">
        <f>IF('G2 MT Reading Scoresheet'!B69&lt;&gt;"",'G2 MT Reading Scoresheet'!B69,"")</f>
        <v/>
      </c>
      <c r="C67" s="50" t="str">
        <f>IF('G2 MT Reading Scoresheet'!C69&lt;&gt;"",'G2 MT Reading Scoresheet'!C69,"")</f>
        <v/>
      </c>
      <c r="D67" s="51" t="str">
        <f>IF('G2 MT Reading Scoresheet'!D69&lt;&gt;"",'G2 MT Reading Scoresheet'!D69,"")</f>
        <v/>
      </c>
      <c r="E67" s="210" t="str">
        <f>'G2 MT Reading Scoresheet'!$J69</f>
        <v/>
      </c>
      <c r="F67" s="246" t="str">
        <f>IF(C67&lt;&gt;"",'G2 MT Reading Scoresheet'!$I69/30,"")</f>
        <v/>
      </c>
      <c r="G67" s="246" t="str">
        <f>IF(AND($C67&lt;&gt;"",$E67&lt;&gt;"Full Refresher"),'G2 MT Reading Scoresheet'!$Q69,"")</f>
        <v/>
      </c>
      <c r="H67" s="246" t="str">
        <f>IF(AND(C67&lt;&gt;"",E67&lt;&gt;"Full Refresher"),'G2 MT Reading Scoresheet'!$R69/6,"")</f>
        <v/>
      </c>
      <c r="I67" s="210" t="str">
        <f>IF(AND(D67&lt;&gt;"",F67&lt;&gt;"Full Refresher"),'G2 MT Reading Scoresheet'!$P69,"")</f>
        <v/>
      </c>
      <c r="J67" s="250" t="str">
        <f>'G2 MT Reading Scoresheet'!$U69</f>
        <v/>
      </c>
      <c r="K67" s="57" t="str">
        <f>'G2 FIL Reading Scoresheet'!$J69</f>
        <v/>
      </c>
      <c r="L67" s="248" t="str">
        <f>IF($C67&lt;&gt;"",'G2 FIL Reading Scoresheet'!$I69/30,"")</f>
        <v/>
      </c>
      <c r="M67" s="248" t="str">
        <f>IF(AND($C67&lt;&gt;"",$K67&lt;&gt;"Full Refresher"),'G2 FIL Reading Scoresheet'!$Q69,"")</f>
        <v/>
      </c>
      <c r="N67" s="248" t="str">
        <f>IF(AND($C67&lt;&gt;"",K67&lt;&gt;"Full Refresher"),'G2 FIL Reading Scoresheet'!$R69/6,"")</f>
        <v/>
      </c>
      <c r="O67" s="57" t="str">
        <f>IF(AND(C67&lt;&gt;"",K67&lt;&gt;"Full Refresher"),'G2 FIL Reading Scoresheet'!$P69,"")</f>
        <v/>
      </c>
      <c r="P67" s="251" t="str">
        <f>'G2 FIL Reading Scoresheet'!$U69</f>
        <v/>
      </c>
      <c r="Q67" s="52" t="str">
        <f>CONCATENATE(IF(ISBLANK('G2 MT Reading Scoresheet'!V69),"",CONCATENATE("MT:",TRIM('G2 MT Reading Scoresheet'!V69)))," ",IF(ISBLANK('G2 FIL Reading Scoresheet'!V69),"",CONCATENATE("FIL:",TRIM('G2 FIL Reading Scoresheet'!V69))))</f>
        <v xml:space="preserve"> </v>
      </c>
    </row>
    <row r="68" spans="1:17" x14ac:dyDescent="0.3">
      <c r="A68" s="44">
        <f>A67+1</f>
        <v>60</v>
      </c>
      <c r="B68" s="45" t="str">
        <f>IF('G2 MT Reading Scoresheet'!B70&lt;&gt;"",'G2 MT Reading Scoresheet'!B70,"")</f>
        <v/>
      </c>
      <c r="C68" s="46" t="str">
        <f>IF('G2 MT Reading Scoresheet'!C70&lt;&gt;"",'G2 MT Reading Scoresheet'!C70,"")</f>
        <v/>
      </c>
      <c r="D68" s="47" t="str">
        <f>IF('G2 MT Reading Scoresheet'!D70&lt;&gt;"",'G2 MT Reading Scoresheet'!D70,"")</f>
        <v/>
      </c>
      <c r="E68" s="210" t="str">
        <f>'G2 MT Reading Scoresheet'!$J70</f>
        <v/>
      </c>
      <c r="F68" s="246" t="str">
        <f>IF(C68&lt;&gt;"",'G2 MT Reading Scoresheet'!$I70/30,"")</f>
        <v/>
      </c>
      <c r="G68" s="246" t="str">
        <f>IF(AND($C68&lt;&gt;"",$E68&lt;&gt;"Full Refresher"),'G2 MT Reading Scoresheet'!$Q70,"")</f>
        <v/>
      </c>
      <c r="H68" s="246" t="str">
        <f>IF(AND(C68&lt;&gt;"",E68&lt;&gt;"Full Refresher"),'G2 MT Reading Scoresheet'!$R70/6,"")</f>
        <v/>
      </c>
      <c r="I68" s="210" t="str">
        <f>IF(AND(D68&lt;&gt;"",F68&lt;&gt;"Full Refresher"),'G2 MT Reading Scoresheet'!$P70,"")</f>
        <v/>
      </c>
      <c r="J68" s="250" t="str">
        <f>'G2 MT Reading Scoresheet'!$U70</f>
        <v/>
      </c>
      <c r="K68" s="57" t="str">
        <f>'G2 FIL Reading Scoresheet'!$J70</f>
        <v/>
      </c>
      <c r="L68" s="248" t="str">
        <f>IF($C68&lt;&gt;"",'G2 FIL Reading Scoresheet'!$I70/30,"")</f>
        <v/>
      </c>
      <c r="M68" s="248" t="str">
        <f>IF(AND($C68&lt;&gt;"",$K68&lt;&gt;"Full Refresher"),'G2 FIL Reading Scoresheet'!$Q70,"")</f>
        <v/>
      </c>
      <c r="N68" s="248" t="str">
        <f>IF(AND($C68&lt;&gt;"",K68&lt;&gt;"Full Refresher"),'G2 FIL Reading Scoresheet'!$R70/6,"")</f>
        <v/>
      </c>
      <c r="O68" s="57" t="str">
        <f>IF(AND(C68&lt;&gt;"",K68&lt;&gt;"Full Refresher"),'G2 FIL Reading Scoresheet'!$P70,"")</f>
        <v/>
      </c>
      <c r="P68" s="251" t="str">
        <f>'G2 FIL Reading Scoresheet'!$U70</f>
        <v/>
      </c>
      <c r="Q68" s="48" t="str">
        <f>CONCATENATE(IF(ISBLANK('G2 MT Reading Scoresheet'!V70),"",CONCATENATE("MT:",TRIM('G2 MT Reading Scoresheet'!V70)))," ",IF(ISBLANK('G2 FIL Reading Scoresheet'!V70),"",CONCATENATE("FIL:",TRIM('G2 FIL Reading Scoresheet'!V70))))</f>
        <v xml:space="preserve"> </v>
      </c>
    </row>
    <row r="69" spans="1:17" x14ac:dyDescent="0.3">
      <c r="A69" s="43">
        <f t="shared" ref="A69:A107" si="0">A68+1</f>
        <v>61</v>
      </c>
      <c r="B69" s="49" t="str">
        <f>IF('G2 MT Reading Scoresheet'!B71&lt;&gt;"",'G2 MT Reading Scoresheet'!B71,"")</f>
        <v/>
      </c>
      <c r="C69" s="50" t="str">
        <f>IF('G2 MT Reading Scoresheet'!C71&lt;&gt;"",'G2 MT Reading Scoresheet'!C71,"")</f>
        <v/>
      </c>
      <c r="D69" s="51" t="str">
        <f>IF('G2 MT Reading Scoresheet'!D71&lt;&gt;"",'G2 MT Reading Scoresheet'!D71,"")</f>
        <v/>
      </c>
      <c r="E69" s="210" t="str">
        <f>'G2 MT Reading Scoresheet'!$J71</f>
        <v/>
      </c>
      <c r="F69" s="246" t="str">
        <f>IF(C69&lt;&gt;"",'G2 MT Reading Scoresheet'!$I71/30,"")</f>
        <v/>
      </c>
      <c r="G69" s="246" t="str">
        <f>IF(AND($C69&lt;&gt;"",$E69&lt;&gt;"Full Refresher"),'G2 MT Reading Scoresheet'!$Q71,"")</f>
        <v/>
      </c>
      <c r="H69" s="246" t="str">
        <f>IF(AND(C69&lt;&gt;"",E69&lt;&gt;"Full Refresher"),'G2 MT Reading Scoresheet'!$R71/6,"")</f>
        <v/>
      </c>
      <c r="I69" s="210" t="str">
        <f>IF(AND(D69&lt;&gt;"",F69&lt;&gt;"Full Refresher"),'G2 MT Reading Scoresheet'!$P71,"")</f>
        <v/>
      </c>
      <c r="J69" s="250" t="str">
        <f>'G2 MT Reading Scoresheet'!$U71</f>
        <v/>
      </c>
      <c r="K69" s="57" t="str">
        <f>'G2 FIL Reading Scoresheet'!$J71</f>
        <v/>
      </c>
      <c r="L69" s="248" t="str">
        <f>IF($C69&lt;&gt;"",'G2 FIL Reading Scoresheet'!$I71/30,"")</f>
        <v/>
      </c>
      <c r="M69" s="248" t="str">
        <f>IF(AND($C69&lt;&gt;"",$K69&lt;&gt;"Full Refresher"),'G2 FIL Reading Scoresheet'!$Q71,"")</f>
        <v/>
      </c>
      <c r="N69" s="248" t="str">
        <f>IF(AND($C69&lt;&gt;"",K69&lt;&gt;"Full Refresher"),'G2 FIL Reading Scoresheet'!$R71/6,"")</f>
        <v/>
      </c>
      <c r="O69" s="57" t="str">
        <f>IF(AND(C69&lt;&gt;"",K69&lt;&gt;"Full Refresher"),'G2 FIL Reading Scoresheet'!$P71,"")</f>
        <v/>
      </c>
      <c r="P69" s="251" t="str">
        <f>'G2 FIL Reading Scoresheet'!$U71</f>
        <v/>
      </c>
      <c r="Q69" s="52" t="str">
        <f>CONCATENATE(IF(ISBLANK('G2 MT Reading Scoresheet'!V71),"",CONCATENATE("MT:",TRIM('G2 MT Reading Scoresheet'!V71)))," ",IF(ISBLANK('G2 FIL Reading Scoresheet'!V71),"",CONCATENATE("FIL:",TRIM('G2 FIL Reading Scoresheet'!V71))))</f>
        <v xml:space="preserve"> </v>
      </c>
    </row>
    <row r="70" spans="1:17" x14ac:dyDescent="0.3">
      <c r="A70" s="44">
        <f t="shared" si="0"/>
        <v>62</v>
      </c>
      <c r="B70" s="45" t="str">
        <f>IF('G2 MT Reading Scoresheet'!B72&lt;&gt;"",'G2 MT Reading Scoresheet'!B72,"")</f>
        <v/>
      </c>
      <c r="C70" s="46" t="str">
        <f>IF('G2 MT Reading Scoresheet'!C72&lt;&gt;"",'G2 MT Reading Scoresheet'!C72,"")</f>
        <v/>
      </c>
      <c r="D70" s="47" t="str">
        <f>IF('G2 MT Reading Scoresheet'!D72&lt;&gt;"",'G2 MT Reading Scoresheet'!D72,"")</f>
        <v/>
      </c>
      <c r="E70" s="210" t="str">
        <f>'G2 MT Reading Scoresheet'!$J72</f>
        <v/>
      </c>
      <c r="F70" s="246" t="str">
        <f>IF(C70&lt;&gt;"",'G2 MT Reading Scoresheet'!$I72/30,"")</f>
        <v/>
      </c>
      <c r="G70" s="246" t="str">
        <f>IF(AND($C70&lt;&gt;"",$E70&lt;&gt;"Full Refresher"),'G2 MT Reading Scoresheet'!$Q72,"")</f>
        <v/>
      </c>
      <c r="H70" s="246" t="str">
        <f>IF(AND(C70&lt;&gt;"",E70&lt;&gt;"Full Refresher"),'G2 MT Reading Scoresheet'!$R72/6,"")</f>
        <v/>
      </c>
      <c r="I70" s="210" t="str">
        <f>IF(AND(D70&lt;&gt;"",F70&lt;&gt;"Full Refresher"),'G2 MT Reading Scoresheet'!$P72,"")</f>
        <v/>
      </c>
      <c r="J70" s="250" t="str">
        <f>'G2 MT Reading Scoresheet'!$U72</f>
        <v/>
      </c>
      <c r="K70" s="57" t="str">
        <f>'G2 FIL Reading Scoresheet'!$J72</f>
        <v/>
      </c>
      <c r="L70" s="248" t="str">
        <f>IF($C70&lt;&gt;"",'G2 FIL Reading Scoresheet'!$I72/30,"")</f>
        <v/>
      </c>
      <c r="M70" s="248" t="str">
        <f>IF(AND($C70&lt;&gt;"",$K70&lt;&gt;"Full Refresher"),'G2 FIL Reading Scoresheet'!$Q72,"")</f>
        <v/>
      </c>
      <c r="N70" s="248" t="str">
        <f>IF(AND($C70&lt;&gt;"",K70&lt;&gt;"Full Refresher"),'G2 FIL Reading Scoresheet'!$R72/6,"")</f>
        <v/>
      </c>
      <c r="O70" s="57" t="str">
        <f>IF(AND(C70&lt;&gt;"",K70&lt;&gt;"Full Refresher"),'G2 FIL Reading Scoresheet'!$P72,"")</f>
        <v/>
      </c>
      <c r="P70" s="251" t="str">
        <f>'G2 FIL Reading Scoresheet'!$U72</f>
        <v/>
      </c>
      <c r="Q70" s="48" t="str">
        <f>CONCATENATE(IF(ISBLANK('G2 MT Reading Scoresheet'!V72),"",CONCATENATE("MT:",TRIM('G2 MT Reading Scoresheet'!V72)))," ",IF(ISBLANK('G2 FIL Reading Scoresheet'!V72),"",CONCATENATE("FIL:",TRIM('G2 FIL Reading Scoresheet'!V72))))</f>
        <v xml:space="preserve"> </v>
      </c>
    </row>
    <row r="71" spans="1:17" x14ac:dyDescent="0.3">
      <c r="A71" s="43">
        <f t="shared" si="0"/>
        <v>63</v>
      </c>
      <c r="B71" s="49" t="str">
        <f>IF('G2 MT Reading Scoresheet'!B73&lt;&gt;"",'G2 MT Reading Scoresheet'!B73,"")</f>
        <v/>
      </c>
      <c r="C71" s="50" t="str">
        <f>IF('G2 MT Reading Scoresheet'!C73&lt;&gt;"",'G2 MT Reading Scoresheet'!C73,"")</f>
        <v/>
      </c>
      <c r="D71" s="51" t="str">
        <f>IF('G2 MT Reading Scoresheet'!D73&lt;&gt;"",'G2 MT Reading Scoresheet'!D73,"")</f>
        <v/>
      </c>
      <c r="E71" s="210" t="str">
        <f>'G2 MT Reading Scoresheet'!$J73</f>
        <v/>
      </c>
      <c r="F71" s="246" t="str">
        <f>IF(C71&lt;&gt;"",'G2 MT Reading Scoresheet'!$I73/30,"")</f>
        <v/>
      </c>
      <c r="G71" s="246" t="str">
        <f>IF(AND($C71&lt;&gt;"",$E71&lt;&gt;"Full Refresher"),'G2 MT Reading Scoresheet'!$Q73,"")</f>
        <v/>
      </c>
      <c r="H71" s="246" t="str">
        <f>IF(AND(C71&lt;&gt;"",E71&lt;&gt;"Full Refresher"),'G2 MT Reading Scoresheet'!$R73/6,"")</f>
        <v/>
      </c>
      <c r="I71" s="210" t="str">
        <f>IF(AND(D71&lt;&gt;"",F71&lt;&gt;"Full Refresher"),'G2 MT Reading Scoresheet'!$P73,"")</f>
        <v/>
      </c>
      <c r="J71" s="250" t="str">
        <f>'G2 MT Reading Scoresheet'!$U73</f>
        <v/>
      </c>
      <c r="K71" s="57" t="str">
        <f>'G2 FIL Reading Scoresheet'!$J73</f>
        <v/>
      </c>
      <c r="L71" s="248" t="str">
        <f>IF($C71&lt;&gt;"",'G2 FIL Reading Scoresheet'!$I73/30,"")</f>
        <v/>
      </c>
      <c r="M71" s="248" t="str">
        <f>IF(AND($C71&lt;&gt;"",$K71&lt;&gt;"Full Refresher"),'G2 FIL Reading Scoresheet'!$Q73,"")</f>
        <v/>
      </c>
      <c r="N71" s="248" t="str">
        <f>IF(AND($C71&lt;&gt;"",K71&lt;&gt;"Full Refresher"),'G2 FIL Reading Scoresheet'!$R73/6,"")</f>
        <v/>
      </c>
      <c r="O71" s="57" t="str">
        <f>IF(AND(C71&lt;&gt;"",K71&lt;&gt;"Full Refresher"),'G2 FIL Reading Scoresheet'!$P73,"")</f>
        <v/>
      </c>
      <c r="P71" s="251" t="str">
        <f>'G2 FIL Reading Scoresheet'!$U73</f>
        <v/>
      </c>
      <c r="Q71" s="52" t="str">
        <f>CONCATENATE(IF(ISBLANK('G2 MT Reading Scoresheet'!V73),"",CONCATENATE("MT:",TRIM('G2 MT Reading Scoresheet'!V73)))," ",IF(ISBLANK('G2 FIL Reading Scoresheet'!V73),"",CONCATENATE("FIL:",TRIM('G2 FIL Reading Scoresheet'!V73))))</f>
        <v xml:space="preserve"> </v>
      </c>
    </row>
    <row r="72" spans="1:17" x14ac:dyDescent="0.3">
      <c r="A72" s="44">
        <f t="shared" si="0"/>
        <v>64</v>
      </c>
      <c r="B72" s="45" t="str">
        <f>IF('G2 MT Reading Scoresheet'!B74&lt;&gt;"",'G2 MT Reading Scoresheet'!B74,"")</f>
        <v/>
      </c>
      <c r="C72" s="46" t="str">
        <f>IF('G2 MT Reading Scoresheet'!C74&lt;&gt;"",'G2 MT Reading Scoresheet'!C74,"")</f>
        <v/>
      </c>
      <c r="D72" s="47" t="str">
        <f>IF('G2 MT Reading Scoresheet'!D74&lt;&gt;"",'G2 MT Reading Scoresheet'!D74,"")</f>
        <v/>
      </c>
      <c r="E72" s="210" t="str">
        <f>'G2 MT Reading Scoresheet'!$J74</f>
        <v/>
      </c>
      <c r="F72" s="246" t="str">
        <f>IF(C72&lt;&gt;"",'G2 MT Reading Scoresheet'!$I74/30,"")</f>
        <v/>
      </c>
      <c r="G72" s="246" t="str">
        <f>IF(AND($C72&lt;&gt;"",$E72&lt;&gt;"Full Refresher"),'G2 MT Reading Scoresheet'!$Q74,"")</f>
        <v/>
      </c>
      <c r="H72" s="246" t="str">
        <f>IF(AND(C72&lt;&gt;"",E72&lt;&gt;"Full Refresher"),'G2 MT Reading Scoresheet'!$R74/6,"")</f>
        <v/>
      </c>
      <c r="I72" s="210" t="str">
        <f>IF(AND(D72&lt;&gt;"",F72&lt;&gt;"Full Refresher"),'G2 MT Reading Scoresheet'!$P74,"")</f>
        <v/>
      </c>
      <c r="J72" s="250" t="str">
        <f>'G2 MT Reading Scoresheet'!$U74</f>
        <v/>
      </c>
      <c r="K72" s="57" t="str">
        <f>'G2 FIL Reading Scoresheet'!$J74</f>
        <v/>
      </c>
      <c r="L72" s="248" t="str">
        <f>IF($C72&lt;&gt;"",'G2 FIL Reading Scoresheet'!$I74/30,"")</f>
        <v/>
      </c>
      <c r="M72" s="248" t="str">
        <f>IF(AND($C72&lt;&gt;"",$K72&lt;&gt;"Full Refresher"),'G2 FIL Reading Scoresheet'!$Q74,"")</f>
        <v/>
      </c>
      <c r="N72" s="248" t="str">
        <f>IF(AND($C72&lt;&gt;"",K72&lt;&gt;"Full Refresher"),'G2 FIL Reading Scoresheet'!$R74/6,"")</f>
        <v/>
      </c>
      <c r="O72" s="57" t="str">
        <f>IF(AND(C72&lt;&gt;"",K72&lt;&gt;"Full Refresher"),'G2 FIL Reading Scoresheet'!$P74,"")</f>
        <v/>
      </c>
      <c r="P72" s="251" t="str">
        <f>'G2 FIL Reading Scoresheet'!$U74</f>
        <v/>
      </c>
      <c r="Q72" s="48" t="str">
        <f>CONCATENATE(IF(ISBLANK('G2 MT Reading Scoresheet'!V74),"",CONCATENATE("MT:",TRIM('G2 MT Reading Scoresheet'!V74)))," ",IF(ISBLANK('G2 FIL Reading Scoresheet'!V74),"",CONCATENATE("FIL:",TRIM('G2 FIL Reading Scoresheet'!V74))))</f>
        <v xml:space="preserve"> </v>
      </c>
    </row>
    <row r="73" spans="1:17" x14ac:dyDescent="0.3">
      <c r="A73" s="43">
        <f t="shared" si="0"/>
        <v>65</v>
      </c>
      <c r="B73" s="49" t="str">
        <f>IF('G2 MT Reading Scoresheet'!B75&lt;&gt;"",'G2 MT Reading Scoresheet'!B75,"")</f>
        <v/>
      </c>
      <c r="C73" s="50" t="str">
        <f>IF('G2 MT Reading Scoresheet'!C75&lt;&gt;"",'G2 MT Reading Scoresheet'!C75,"")</f>
        <v/>
      </c>
      <c r="D73" s="51" t="str">
        <f>IF('G2 MT Reading Scoresheet'!D75&lt;&gt;"",'G2 MT Reading Scoresheet'!D75,"")</f>
        <v/>
      </c>
      <c r="E73" s="210" t="str">
        <f>'G2 MT Reading Scoresheet'!$J75</f>
        <v/>
      </c>
      <c r="F73" s="246" t="str">
        <f>IF(C73&lt;&gt;"",'G2 MT Reading Scoresheet'!$I75/30,"")</f>
        <v/>
      </c>
      <c r="G73" s="246" t="str">
        <f>IF(AND($C73&lt;&gt;"",$E73&lt;&gt;"Full Refresher"),'G2 MT Reading Scoresheet'!$Q75,"")</f>
        <v/>
      </c>
      <c r="H73" s="246" t="str">
        <f>IF(AND(C73&lt;&gt;"",E73&lt;&gt;"Full Refresher"),'G2 MT Reading Scoresheet'!$R75/6,"")</f>
        <v/>
      </c>
      <c r="I73" s="210" t="str">
        <f>IF(AND(D73&lt;&gt;"",F73&lt;&gt;"Full Refresher"),'G2 MT Reading Scoresheet'!$P75,"")</f>
        <v/>
      </c>
      <c r="J73" s="250" t="str">
        <f>'G2 MT Reading Scoresheet'!$U75</f>
        <v/>
      </c>
      <c r="K73" s="57" t="str">
        <f>'G2 FIL Reading Scoresheet'!$J75</f>
        <v/>
      </c>
      <c r="L73" s="248" t="str">
        <f>IF($C73&lt;&gt;"",'G2 FIL Reading Scoresheet'!$I75/30,"")</f>
        <v/>
      </c>
      <c r="M73" s="248" t="str">
        <f>IF(AND($C73&lt;&gt;"",$K73&lt;&gt;"Full Refresher"),'G2 FIL Reading Scoresheet'!$Q75,"")</f>
        <v/>
      </c>
      <c r="N73" s="248" t="str">
        <f>IF(AND($C73&lt;&gt;"",K73&lt;&gt;"Full Refresher"),'G2 FIL Reading Scoresheet'!$R75/6,"")</f>
        <v/>
      </c>
      <c r="O73" s="57" t="str">
        <f>IF(AND(C73&lt;&gt;"",K73&lt;&gt;"Full Refresher"),'G2 FIL Reading Scoresheet'!$P75,"")</f>
        <v/>
      </c>
      <c r="P73" s="251" t="str">
        <f>'G2 FIL Reading Scoresheet'!$U75</f>
        <v/>
      </c>
      <c r="Q73" s="52" t="str">
        <f>CONCATENATE(IF(ISBLANK('G2 MT Reading Scoresheet'!V75),"",CONCATENATE("MT:",TRIM('G2 MT Reading Scoresheet'!V75)))," ",IF(ISBLANK('G2 FIL Reading Scoresheet'!V75),"",CONCATENATE("FIL:",TRIM('G2 FIL Reading Scoresheet'!V75))))</f>
        <v xml:space="preserve"> </v>
      </c>
    </row>
    <row r="74" spans="1:17" x14ac:dyDescent="0.3">
      <c r="A74" s="44">
        <f t="shared" si="0"/>
        <v>66</v>
      </c>
      <c r="B74" s="45" t="str">
        <f>IF('G2 MT Reading Scoresheet'!B76&lt;&gt;"",'G2 MT Reading Scoresheet'!B76,"")</f>
        <v/>
      </c>
      <c r="C74" s="46" t="str">
        <f>IF('G2 MT Reading Scoresheet'!C76&lt;&gt;"",'G2 MT Reading Scoresheet'!C76,"")</f>
        <v/>
      </c>
      <c r="D74" s="47" t="str">
        <f>IF('G2 MT Reading Scoresheet'!D76&lt;&gt;"",'G2 MT Reading Scoresheet'!D76,"")</f>
        <v/>
      </c>
      <c r="E74" s="210" t="str">
        <f>'G2 MT Reading Scoresheet'!$J76</f>
        <v/>
      </c>
      <c r="F74" s="246" t="str">
        <f>IF(C74&lt;&gt;"",'G2 MT Reading Scoresheet'!$I76/30,"")</f>
        <v/>
      </c>
      <c r="G74" s="246" t="str">
        <f>IF(AND($C74&lt;&gt;"",$E74&lt;&gt;"Full Refresher"),'G2 MT Reading Scoresheet'!$Q76,"")</f>
        <v/>
      </c>
      <c r="H74" s="246" t="str">
        <f>IF(AND(C74&lt;&gt;"",E74&lt;&gt;"Full Refresher"),'G2 MT Reading Scoresheet'!$R76/6,"")</f>
        <v/>
      </c>
      <c r="I74" s="210" t="str">
        <f>IF(AND(D74&lt;&gt;"",F74&lt;&gt;"Full Refresher"),'G2 MT Reading Scoresheet'!$P76,"")</f>
        <v/>
      </c>
      <c r="J74" s="250" t="str">
        <f>'G2 MT Reading Scoresheet'!$U76</f>
        <v/>
      </c>
      <c r="K74" s="57" t="str">
        <f>'G2 FIL Reading Scoresheet'!$J76</f>
        <v/>
      </c>
      <c r="L74" s="248" t="str">
        <f>IF($C74&lt;&gt;"",'G2 FIL Reading Scoresheet'!$I76/30,"")</f>
        <v/>
      </c>
      <c r="M74" s="248" t="str">
        <f>IF(AND($C74&lt;&gt;"",$K74&lt;&gt;"Full Refresher"),'G2 FIL Reading Scoresheet'!$Q76,"")</f>
        <v/>
      </c>
      <c r="N74" s="248" t="str">
        <f>IF(AND($C74&lt;&gt;"",K74&lt;&gt;"Full Refresher"),'G2 FIL Reading Scoresheet'!$R76/6,"")</f>
        <v/>
      </c>
      <c r="O74" s="57" t="str">
        <f>IF(AND(C74&lt;&gt;"",K74&lt;&gt;"Full Refresher"),'G2 FIL Reading Scoresheet'!$P76,"")</f>
        <v/>
      </c>
      <c r="P74" s="251" t="str">
        <f>'G2 FIL Reading Scoresheet'!$U76</f>
        <v/>
      </c>
      <c r="Q74" s="48" t="str">
        <f>CONCATENATE(IF(ISBLANK('G2 MT Reading Scoresheet'!V76),"",CONCATENATE("MT:",TRIM('G2 MT Reading Scoresheet'!V76)))," ",IF(ISBLANK('G2 FIL Reading Scoresheet'!V76),"",CONCATENATE("FIL:",TRIM('G2 FIL Reading Scoresheet'!V76))))</f>
        <v xml:space="preserve"> </v>
      </c>
    </row>
    <row r="75" spans="1:17" x14ac:dyDescent="0.3">
      <c r="A75" s="43">
        <f t="shared" si="0"/>
        <v>67</v>
      </c>
      <c r="B75" s="49" t="str">
        <f>IF('G2 MT Reading Scoresheet'!B77&lt;&gt;"",'G2 MT Reading Scoresheet'!B77,"")</f>
        <v/>
      </c>
      <c r="C75" s="50" t="str">
        <f>IF('G2 MT Reading Scoresheet'!C77&lt;&gt;"",'G2 MT Reading Scoresheet'!C77,"")</f>
        <v/>
      </c>
      <c r="D75" s="51" t="str">
        <f>IF('G2 MT Reading Scoresheet'!D77&lt;&gt;"",'G2 MT Reading Scoresheet'!D77,"")</f>
        <v/>
      </c>
      <c r="E75" s="210" t="str">
        <f>'G2 MT Reading Scoresheet'!$J77</f>
        <v/>
      </c>
      <c r="F75" s="246" t="str">
        <f>IF(C75&lt;&gt;"",'G2 MT Reading Scoresheet'!$I77/30,"")</f>
        <v/>
      </c>
      <c r="G75" s="246" t="str">
        <f>IF(AND($C75&lt;&gt;"",$E75&lt;&gt;"Full Refresher"),'G2 MT Reading Scoresheet'!$Q77,"")</f>
        <v/>
      </c>
      <c r="H75" s="246" t="str">
        <f>IF(AND(C75&lt;&gt;"",E75&lt;&gt;"Full Refresher"),'G2 MT Reading Scoresheet'!$R77/6,"")</f>
        <v/>
      </c>
      <c r="I75" s="210" t="str">
        <f>IF(AND(D75&lt;&gt;"",F75&lt;&gt;"Full Refresher"),'G2 MT Reading Scoresheet'!$P77,"")</f>
        <v/>
      </c>
      <c r="J75" s="250" t="str">
        <f>'G2 MT Reading Scoresheet'!$U77</f>
        <v/>
      </c>
      <c r="K75" s="57" t="str">
        <f>'G2 FIL Reading Scoresheet'!$J77</f>
        <v/>
      </c>
      <c r="L75" s="248" t="str">
        <f>IF($C75&lt;&gt;"",'G2 FIL Reading Scoresheet'!$I77/30,"")</f>
        <v/>
      </c>
      <c r="M75" s="248" t="str">
        <f>IF(AND($C75&lt;&gt;"",$K75&lt;&gt;"Full Refresher"),'G2 FIL Reading Scoresheet'!$Q77,"")</f>
        <v/>
      </c>
      <c r="N75" s="248" t="str">
        <f>IF(AND($C75&lt;&gt;"",K75&lt;&gt;"Full Refresher"),'G2 FIL Reading Scoresheet'!$R77/6,"")</f>
        <v/>
      </c>
      <c r="O75" s="57" t="str">
        <f>IF(AND(C75&lt;&gt;"",K75&lt;&gt;"Full Refresher"),'G2 FIL Reading Scoresheet'!$P77,"")</f>
        <v/>
      </c>
      <c r="P75" s="251" t="str">
        <f>'G2 FIL Reading Scoresheet'!$U77</f>
        <v/>
      </c>
      <c r="Q75" s="52" t="str">
        <f>CONCATENATE(IF(ISBLANK('G2 MT Reading Scoresheet'!V77),"",CONCATENATE("MT:",TRIM('G2 MT Reading Scoresheet'!V77)))," ",IF(ISBLANK('G2 FIL Reading Scoresheet'!V77),"",CONCATENATE("FIL:",TRIM('G2 FIL Reading Scoresheet'!V77))))</f>
        <v xml:space="preserve"> </v>
      </c>
    </row>
    <row r="76" spans="1:17" x14ac:dyDescent="0.3">
      <c r="A76" s="44">
        <f t="shared" si="0"/>
        <v>68</v>
      </c>
      <c r="B76" s="45" t="str">
        <f>IF('G2 MT Reading Scoresheet'!B78&lt;&gt;"",'G2 MT Reading Scoresheet'!B78,"")</f>
        <v/>
      </c>
      <c r="C76" s="46" t="str">
        <f>IF('G2 MT Reading Scoresheet'!C78&lt;&gt;"",'G2 MT Reading Scoresheet'!C78,"")</f>
        <v/>
      </c>
      <c r="D76" s="47" t="str">
        <f>IF('G2 MT Reading Scoresheet'!D78&lt;&gt;"",'G2 MT Reading Scoresheet'!D78,"")</f>
        <v/>
      </c>
      <c r="E76" s="210" t="str">
        <f>'G2 MT Reading Scoresheet'!$J78</f>
        <v/>
      </c>
      <c r="F76" s="246" t="str">
        <f>IF(C76&lt;&gt;"",'G2 MT Reading Scoresheet'!$I78/30,"")</f>
        <v/>
      </c>
      <c r="G76" s="246" t="str">
        <f>IF(AND($C76&lt;&gt;"",$E76&lt;&gt;"Full Refresher"),'G2 MT Reading Scoresheet'!$Q78,"")</f>
        <v/>
      </c>
      <c r="H76" s="246" t="str">
        <f>IF(AND(C76&lt;&gt;"",E76&lt;&gt;"Full Refresher"),'G2 MT Reading Scoresheet'!$R78/6,"")</f>
        <v/>
      </c>
      <c r="I76" s="210" t="str">
        <f>IF(AND(D76&lt;&gt;"",F76&lt;&gt;"Full Refresher"),'G2 MT Reading Scoresheet'!$P78,"")</f>
        <v/>
      </c>
      <c r="J76" s="250" t="str">
        <f>'G2 MT Reading Scoresheet'!$U78</f>
        <v/>
      </c>
      <c r="K76" s="57" t="str">
        <f>'G2 FIL Reading Scoresheet'!$J78</f>
        <v/>
      </c>
      <c r="L76" s="248" t="str">
        <f>IF($C76&lt;&gt;"",'G2 FIL Reading Scoresheet'!$I78/30,"")</f>
        <v/>
      </c>
      <c r="M76" s="248" t="str">
        <f>IF(AND($C76&lt;&gt;"",$K76&lt;&gt;"Full Refresher"),'G2 FIL Reading Scoresheet'!$Q78,"")</f>
        <v/>
      </c>
      <c r="N76" s="248" t="str">
        <f>IF(AND($C76&lt;&gt;"",K76&lt;&gt;"Full Refresher"),'G2 FIL Reading Scoresheet'!$R78/6,"")</f>
        <v/>
      </c>
      <c r="O76" s="57" t="str">
        <f>IF(AND(C76&lt;&gt;"",K76&lt;&gt;"Full Refresher"),'G2 FIL Reading Scoresheet'!$P78,"")</f>
        <v/>
      </c>
      <c r="P76" s="251" t="str">
        <f>'G2 FIL Reading Scoresheet'!$U78</f>
        <v/>
      </c>
      <c r="Q76" s="48" t="str">
        <f>CONCATENATE(IF(ISBLANK('G2 MT Reading Scoresheet'!V78),"",CONCATENATE("MT:",TRIM('G2 MT Reading Scoresheet'!V78)))," ",IF(ISBLANK('G2 FIL Reading Scoresheet'!V78),"",CONCATENATE("FIL:",TRIM('G2 FIL Reading Scoresheet'!V78))))</f>
        <v xml:space="preserve"> </v>
      </c>
    </row>
    <row r="77" spans="1:17" x14ac:dyDescent="0.3">
      <c r="A77" s="43">
        <f t="shared" si="0"/>
        <v>69</v>
      </c>
      <c r="B77" s="49" t="str">
        <f>IF('G2 MT Reading Scoresheet'!B79&lt;&gt;"",'G2 MT Reading Scoresheet'!B79,"")</f>
        <v/>
      </c>
      <c r="C77" s="50" t="str">
        <f>IF('G2 MT Reading Scoresheet'!C79&lt;&gt;"",'G2 MT Reading Scoresheet'!C79,"")</f>
        <v/>
      </c>
      <c r="D77" s="51" t="str">
        <f>IF('G2 MT Reading Scoresheet'!D79&lt;&gt;"",'G2 MT Reading Scoresheet'!D79,"")</f>
        <v/>
      </c>
      <c r="E77" s="210" t="str">
        <f>'G2 MT Reading Scoresheet'!$J79</f>
        <v/>
      </c>
      <c r="F77" s="246" t="str">
        <f>IF(C77&lt;&gt;"",'G2 MT Reading Scoresheet'!$I79/30,"")</f>
        <v/>
      </c>
      <c r="G77" s="246" t="str">
        <f>IF(AND($C77&lt;&gt;"",$E77&lt;&gt;"Full Refresher"),'G2 MT Reading Scoresheet'!$Q79,"")</f>
        <v/>
      </c>
      <c r="H77" s="246" t="str">
        <f>IF(AND(C77&lt;&gt;"",E77&lt;&gt;"Full Refresher"),'G2 MT Reading Scoresheet'!$R79/6,"")</f>
        <v/>
      </c>
      <c r="I77" s="210" t="str">
        <f>IF(AND(D77&lt;&gt;"",F77&lt;&gt;"Full Refresher"),'G2 MT Reading Scoresheet'!$P79,"")</f>
        <v/>
      </c>
      <c r="J77" s="250" t="str">
        <f>'G2 MT Reading Scoresheet'!$U79</f>
        <v/>
      </c>
      <c r="K77" s="57" t="str">
        <f>'G2 FIL Reading Scoresheet'!$J79</f>
        <v/>
      </c>
      <c r="L77" s="248" t="str">
        <f>IF($C77&lt;&gt;"",'G2 FIL Reading Scoresheet'!$I79/30,"")</f>
        <v/>
      </c>
      <c r="M77" s="248" t="str">
        <f>IF(AND($C77&lt;&gt;"",$K77&lt;&gt;"Full Refresher"),'G2 FIL Reading Scoresheet'!$Q79,"")</f>
        <v/>
      </c>
      <c r="N77" s="248" t="str">
        <f>IF(AND($C77&lt;&gt;"",K77&lt;&gt;"Full Refresher"),'G2 FIL Reading Scoresheet'!$R79/6,"")</f>
        <v/>
      </c>
      <c r="O77" s="57" t="str">
        <f>IF(AND(C77&lt;&gt;"",K77&lt;&gt;"Full Refresher"),'G2 FIL Reading Scoresheet'!$P79,"")</f>
        <v/>
      </c>
      <c r="P77" s="251" t="str">
        <f>'G2 FIL Reading Scoresheet'!$U79</f>
        <v/>
      </c>
      <c r="Q77" s="52" t="str">
        <f>CONCATENATE(IF(ISBLANK('G2 MT Reading Scoresheet'!V79),"",CONCATENATE("MT:",TRIM('G2 MT Reading Scoresheet'!V79)))," ",IF(ISBLANK('G2 FIL Reading Scoresheet'!V79),"",CONCATENATE("FIL:",TRIM('G2 FIL Reading Scoresheet'!V79))))</f>
        <v xml:space="preserve"> </v>
      </c>
    </row>
    <row r="78" spans="1:17" x14ac:dyDescent="0.3">
      <c r="A78" s="44">
        <f t="shared" si="0"/>
        <v>70</v>
      </c>
      <c r="B78" s="45" t="str">
        <f>IF('G2 MT Reading Scoresheet'!B80&lt;&gt;"",'G2 MT Reading Scoresheet'!B80,"")</f>
        <v/>
      </c>
      <c r="C78" s="46" t="str">
        <f>IF('G2 MT Reading Scoresheet'!C80&lt;&gt;"",'G2 MT Reading Scoresheet'!C80,"")</f>
        <v/>
      </c>
      <c r="D78" s="47" t="str">
        <f>IF('G2 MT Reading Scoresheet'!D80&lt;&gt;"",'G2 MT Reading Scoresheet'!D80,"")</f>
        <v/>
      </c>
      <c r="E78" s="210" t="str">
        <f>'G2 MT Reading Scoresheet'!$J80</f>
        <v/>
      </c>
      <c r="F78" s="246" t="str">
        <f>IF(C78&lt;&gt;"",'G2 MT Reading Scoresheet'!$I80/30,"")</f>
        <v/>
      </c>
      <c r="G78" s="246" t="str">
        <f>IF(AND($C78&lt;&gt;"",$E78&lt;&gt;"Full Refresher"),'G2 MT Reading Scoresheet'!$Q80,"")</f>
        <v/>
      </c>
      <c r="H78" s="246" t="str">
        <f>IF(AND(C78&lt;&gt;"",E78&lt;&gt;"Full Refresher"),'G2 MT Reading Scoresheet'!$R80/6,"")</f>
        <v/>
      </c>
      <c r="I78" s="210" t="str">
        <f>IF(AND(D78&lt;&gt;"",F78&lt;&gt;"Full Refresher"),'G2 MT Reading Scoresheet'!$P80,"")</f>
        <v/>
      </c>
      <c r="J78" s="250" t="str">
        <f>'G2 MT Reading Scoresheet'!$U80</f>
        <v/>
      </c>
      <c r="K78" s="57" t="str">
        <f>'G2 FIL Reading Scoresheet'!$J80</f>
        <v/>
      </c>
      <c r="L78" s="248" t="str">
        <f>IF($C78&lt;&gt;"",'G2 FIL Reading Scoresheet'!$I80/30,"")</f>
        <v/>
      </c>
      <c r="M78" s="248" t="str">
        <f>IF(AND($C78&lt;&gt;"",$K78&lt;&gt;"Full Refresher"),'G2 FIL Reading Scoresheet'!$Q80,"")</f>
        <v/>
      </c>
      <c r="N78" s="248" t="str">
        <f>IF(AND($C78&lt;&gt;"",K78&lt;&gt;"Full Refresher"),'G2 FIL Reading Scoresheet'!$R80/6,"")</f>
        <v/>
      </c>
      <c r="O78" s="57" t="str">
        <f>IF(AND(C78&lt;&gt;"",K78&lt;&gt;"Full Refresher"),'G2 FIL Reading Scoresheet'!$P80,"")</f>
        <v/>
      </c>
      <c r="P78" s="251" t="str">
        <f>'G2 FIL Reading Scoresheet'!$U80</f>
        <v/>
      </c>
      <c r="Q78" s="48" t="str">
        <f>CONCATENATE(IF(ISBLANK('G2 MT Reading Scoresheet'!V80),"",CONCATENATE("MT:",TRIM('G2 MT Reading Scoresheet'!V80)))," ",IF(ISBLANK('G2 FIL Reading Scoresheet'!V80),"",CONCATENATE("FIL:",TRIM('G2 FIL Reading Scoresheet'!V80))))</f>
        <v xml:space="preserve"> </v>
      </c>
    </row>
    <row r="79" spans="1:17" x14ac:dyDescent="0.3">
      <c r="A79" s="43">
        <f t="shared" si="0"/>
        <v>71</v>
      </c>
      <c r="B79" s="49" t="str">
        <f>IF('G2 MT Reading Scoresheet'!B81&lt;&gt;"",'G2 MT Reading Scoresheet'!B81,"")</f>
        <v/>
      </c>
      <c r="C79" s="50" t="str">
        <f>IF('G2 MT Reading Scoresheet'!C81&lt;&gt;"",'G2 MT Reading Scoresheet'!C81,"")</f>
        <v/>
      </c>
      <c r="D79" s="51" t="str">
        <f>IF('G2 MT Reading Scoresheet'!D81&lt;&gt;"",'G2 MT Reading Scoresheet'!D81,"")</f>
        <v/>
      </c>
      <c r="E79" s="210" t="str">
        <f>'G2 MT Reading Scoresheet'!$J81</f>
        <v/>
      </c>
      <c r="F79" s="246" t="str">
        <f>IF(C79&lt;&gt;"",'G2 MT Reading Scoresheet'!$I81/30,"")</f>
        <v/>
      </c>
      <c r="G79" s="246" t="str">
        <f>IF(AND($C79&lt;&gt;"",$E79&lt;&gt;"Full Refresher"),'G2 MT Reading Scoresheet'!$Q81,"")</f>
        <v/>
      </c>
      <c r="H79" s="246" t="str">
        <f>IF(AND(C79&lt;&gt;"",E79&lt;&gt;"Full Refresher"),'G2 MT Reading Scoresheet'!$R81/6,"")</f>
        <v/>
      </c>
      <c r="I79" s="210" t="str">
        <f>IF(AND(D79&lt;&gt;"",F79&lt;&gt;"Full Refresher"),'G2 MT Reading Scoresheet'!$P81,"")</f>
        <v/>
      </c>
      <c r="J79" s="250" t="str">
        <f>'G2 MT Reading Scoresheet'!$U81</f>
        <v/>
      </c>
      <c r="K79" s="57" t="str">
        <f>'G2 FIL Reading Scoresheet'!$J81</f>
        <v/>
      </c>
      <c r="L79" s="248" t="str">
        <f>IF($C79&lt;&gt;"",'G2 FIL Reading Scoresheet'!$I81/30,"")</f>
        <v/>
      </c>
      <c r="M79" s="248" t="str">
        <f>IF(AND($C79&lt;&gt;"",$K79&lt;&gt;"Full Refresher"),'G2 FIL Reading Scoresheet'!$Q81,"")</f>
        <v/>
      </c>
      <c r="N79" s="248" t="str">
        <f>IF(AND($C79&lt;&gt;"",K79&lt;&gt;"Full Refresher"),'G2 FIL Reading Scoresheet'!$R81/6,"")</f>
        <v/>
      </c>
      <c r="O79" s="57" t="str">
        <f>IF(AND(C79&lt;&gt;"",K79&lt;&gt;"Full Refresher"),'G2 FIL Reading Scoresheet'!$P81,"")</f>
        <v/>
      </c>
      <c r="P79" s="251" t="str">
        <f>'G2 FIL Reading Scoresheet'!$U81</f>
        <v/>
      </c>
      <c r="Q79" s="52" t="str">
        <f>CONCATENATE(IF(ISBLANK('G2 MT Reading Scoresheet'!V81),"",CONCATENATE("MT:",TRIM('G2 MT Reading Scoresheet'!V81)))," ",IF(ISBLANK('G2 FIL Reading Scoresheet'!V81),"",CONCATENATE("FIL:",TRIM('G2 FIL Reading Scoresheet'!V81))))</f>
        <v xml:space="preserve"> </v>
      </c>
    </row>
    <row r="80" spans="1:17" x14ac:dyDescent="0.3">
      <c r="A80" s="44">
        <f t="shared" si="0"/>
        <v>72</v>
      </c>
      <c r="B80" s="45" t="str">
        <f>IF('G2 MT Reading Scoresheet'!B82&lt;&gt;"",'G2 MT Reading Scoresheet'!B82,"")</f>
        <v/>
      </c>
      <c r="C80" s="46" t="str">
        <f>IF('G2 MT Reading Scoresheet'!C82&lt;&gt;"",'G2 MT Reading Scoresheet'!C82,"")</f>
        <v/>
      </c>
      <c r="D80" s="47" t="str">
        <f>IF('G2 MT Reading Scoresheet'!D82&lt;&gt;"",'G2 MT Reading Scoresheet'!D82,"")</f>
        <v/>
      </c>
      <c r="E80" s="210" t="str">
        <f>'G2 MT Reading Scoresheet'!$J82</f>
        <v/>
      </c>
      <c r="F80" s="246" t="str">
        <f>IF(C80&lt;&gt;"",'G2 MT Reading Scoresheet'!$I82/30,"")</f>
        <v/>
      </c>
      <c r="G80" s="246" t="str">
        <f>IF(AND($C80&lt;&gt;"",$E80&lt;&gt;"Full Refresher"),'G2 MT Reading Scoresheet'!$Q82,"")</f>
        <v/>
      </c>
      <c r="H80" s="246" t="str">
        <f>IF(AND(C80&lt;&gt;"",E80&lt;&gt;"Full Refresher"),'G2 MT Reading Scoresheet'!$R82/6,"")</f>
        <v/>
      </c>
      <c r="I80" s="210" t="str">
        <f>IF(AND(D80&lt;&gt;"",F80&lt;&gt;"Full Refresher"),'G2 MT Reading Scoresheet'!$P82,"")</f>
        <v/>
      </c>
      <c r="J80" s="250" t="str">
        <f>'G2 MT Reading Scoresheet'!$U82</f>
        <v/>
      </c>
      <c r="K80" s="57" t="str">
        <f>'G2 FIL Reading Scoresheet'!$J82</f>
        <v/>
      </c>
      <c r="L80" s="248" t="str">
        <f>IF($C80&lt;&gt;"",'G2 FIL Reading Scoresheet'!$I82/30,"")</f>
        <v/>
      </c>
      <c r="M80" s="248" t="str">
        <f>IF(AND($C80&lt;&gt;"",$K80&lt;&gt;"Full Refresher"),'G2 FIL Reading Scoresheet'!$Q82,"")</f>
        <v/>
      </c>
      <c r="N80" s="248" t="str">
        <f>IF(AND($C80&lt;&gt;"",K80&lt;&gt;"Full Refresher"),'G2 FIL Reading Scoresheet'!$R82/6,"")</f>
        <v/>
      </c>
      <c r="O80" s="57" t="str">
        <f>IF(AND(C80&lt;&gt;"",K80&lt;&gt;"Full Refresher"),'G2 FIL Reading Scoresheet'!$P82,"")</f>
        <v/>
      </c>
      <c r="P80" s="251" t="str">
        <f>'G2 FIL Reading Scoresheet'!$U82</f>
        <v/>
      </c>
      <c r="Q80" s="48" t="str">
        <f>CONCATENATE(IF(ISBLANK('G2 MT Reading Scoresheet'!V82),"",CONCATENATE("MT:",TRIM('G2 MT Reading Scoresheet'!V82)))," ",IF(ISBLANK('G2 FIL Reading Scoresheet'!V82),"",CONCATENATE("FIL:",TRIM('G2 FIL Reading Scoresheet'!V82))))</f>
        <v xml:space="preserve"> </v>
      </c>
    </row>
    <row r="81" spans="1:17" x14ac:dyDescent="0.3">
      <c r="A81" s="43">
        <f t="shared" si="0"/>
        <v>73</v>
      </c>
      <c r="B81" s="49" t="str">
        <f>IF('G2 MT Reading Scoresheet'!B83&lt;&gt;"",'G2 MT Reading Scoresheet'!B83,"")</f>
        <v/>
      </c>
      <c r="C81" s="50" t="str">
        <f>IF('G2 MT Reading Scoresheet'!C83&lt;&gt;"",'G2 MT Reading Scoresheet'!C83,"")</f>
        <v/>
      </c>
      <c r="D81" s="51" t="str">
        <f>IF('G2 MT Reading Scoresheet'!D83&lt;&gt;"",'G2 MT Reading Scoresheet'!D83,"")</f>
        <v/>
      </c>
      <c r="E81" s="210" t="str">
        <f>'G2 MT Reading Scoresheet'!$J83</f>
        <v/>
      </c>
      <c r="F81" s="246" t="str">
        <f>IF(C81&lt;&gt;"",'G2 MT Reading Scoresheet'!$I83/30,"")</f>
        <v/>
      </c>
      <c r="G81" s="246" t="str">
        <f>IF(AND($C81&lt;&gt;"",$E81&lt;&gt;"Full Refresher"),'G2 MT Reading Scoresheet'!$Q83,"")</f>
        <v/>
      </c>
      <c r="H81" s="246" t="str">
        <f>IF(AND(C81&lt;&gt;"",E81&lt;&gt;"Full Refresher"),'G2 MT Reading Scoresheet'!$R83/6,"")</f>
        <v/>
      </c>
      <c r="I81" s="210" t="str">
        <f>IF(AND(D81&lt;&gt;"",F81&lt;&gt;"Full Refresher"),'G2 MT Reading Scoresheet'!$P83,"")</f>
        <v/>
      </c>
      <c r="J81" s="250" t="str">
        <f>'G2 MT Reading Scoresheet'!$U83</f>
        <v/>
      </c>
      <c r="K81" s="57" t="str">
        <f>'G2 FIL Reading Scoresheet'!$J83</f>
        <v/>
      </c>
      <c r="L81" s="248" t="str">
        <f>IF($C81&lt;&gt;"",'G2 FIL Reading Scoresheet'!$I83/30,"")</f>
        <v/>
      </c>
      <c r="M81" s="248" t="str">
        <f>IF(AND($C81&lt;&gt;"",$K81&lt;&gt;"Full Refresher"),'G2 FIL Reading Scoresheet'!$Q83,"")</f>
        <v/>
      </c>
      <c r="N81" s="248" t="str">
        <f>IF(AND($C81&lt;&gt;"",K81&lt;&gt;"Full Refresher"),'G2 FIL Reading Scoresheet'!$R83/6,"")</f>
        <v/>
      </c>
      <c r="O81" s="57" t="str">
        <f>IF(AND(C81&lt;&gt;"",K81&lt;&gt;"Full Refresher"),'G2 FIL Reading Scoresheet'!$P83,"")</f>
        <v/>
      </c>
      <c r="P81" s="251" t="str">
        <f>'G2 FIL Reading Scoresheet'!$U83</f>
        <v/>
      </c>
      <c r="Q81" s="52" t="str">
        <f>CONCATENATE(IF(ISBLANK('G2 MT Reading Scoresheet'!V83),"",CONCATENATE("MT:",TRIM('G2 MT Reading Scoresheet'!V83)))," ",IF(ISBLANK('G2 FIL Reading Scoresheet'!V83),"",CONCATENATE("FIL:",TRIM('G2 FIL Reading Scoresheet'!V83))))</f>
        <v xml:space="preserve"> </v>
      </c>
    </row>
    <row r="82" spans="1:17" x14ac:dyDescent="0.3">
      <c r="A82" s="44">
        <f t="shared" si="0"/>
        <v>74</v>
      </c>
      <c r="B82" s="45" t="str">
        <f>IF('G2 MT Reading Scoresheet'!B84&lt;&gt;"",'G2 MT Reading Scoresheet'!B84,"")</f>
        <v/>
      </c>
      <c r="C82" s="46" t="str">
        <f>IF('G2 MT Reading Scoresheet'!C84&lt;&gt;"",'G2 MT Reading Scoresheet'!C84,"")</f>
        <v/>
      </c>
      <c r="D82" s="47" t="str">
        <f>IF('G2 MT Reading Scoresheet'!D84&lt;&gt;"",'G2 MT Reading Scoresheet'!D84,"")</f>
        <v/>
      </c>
      <c r="E82" s="210" t="str">
        <f>'G2 MT Reading Scoresheet'!$J84</f>
        <v/>
      </c>
      <c r="F82" s="246" t="str">
        <f>IF(C82&lt;&gt;"",'G2 MT Reading Scoresheet'!$I84/30,"")</f>
        <v/>
      </c>
      <c r="G82" s="246" t="str">
        <f>IF(AND($C82&lt;&gt;"",$E82&lt;&gt;"Full Refresher"),'G2 MT Reading Scoresheet'!$Q84,"")</f>
        <v/>
      </c>
      <c r="H82" s="246" t="str">
        <f>IF(AND(C82&lt;&gt;"",E82&lt;&gt;"Full Refresher"),'G2 MT Reading Scoresheet'!$R84/6,"")</f>
        <v/>
      </c>
      <c r="I82" s="210" t="str">
        <f>IF(AND(D82&lt;&gt;"",F82&lt;&gt;"Full Refresher"),'G2 MT Reading Scoresheet'!$P84,"")</f>
        <v/>
      </c>
      <c r="J82" s="250" t="str">
        <f>'G2 MT Reading Scoresheet'!$U84</f>
        <v/>
      </c>
      <c r="K82" s="57" t="str">
        <f>'G2 FIL Reading Scoresheet'!$J84</f>
        <v/>
      </c>
      <c r="L82" s="248" t="str">
        <f>IF($C82&lt;&gt;"",'G2 FIL Reading Scoresheet'!$I84/30,"")</f>
        <v/>
      </c>
      <c r="M82" s="248" t="str">
        <f>IF(AND($C82&lt;&gt;"",$K82&lt;&gt;"Full Refresher"),'G2 FIL Reading Scoresheet'!$Q84,"")</f>
        <v/>
      </c>
      <c r="N82" s="248" t="str">
        <f>IF(AND($C82&lt;&gt;"",K82&lt;&gt;"Full Refresher"),'G2 FIL Reading Scoresheet'!$R84/6,"")</f>
        <v/>
      </c>
      <c r="O82" s="57" t="str">
        <f>IF(AND(C82&lt;&gt;"",K82&lt;&gt;"Full Refresher"),'G2 FIL Reading Scoresheet'!$P84,"")</f>
        <v/>
      </c>
      <c r="P82" s="251" t="str">
        <f>'G2 FIL Reading Scoresheet'!$U84</f>
        <v/>
      </c>
      <c r="Q82" s="48" t="str">
        <f>CONCATENATE(IF(ISBLANK('G2 MT Reading Scoresheet'!V84),"",CONCATENATE("MT:",TRIM('G2 MT Reading Scoresheet'!V84)))," ",IF(ISBLANK('G2 FIL Reading Scoresheet'!V84),"",CONCATENATE("FIL:",TRIM('G2 FIL Reading Scoresheet'!V84))))</f>
        <v xml:space="preserve"> </v>
      </c>
    </row>
    <row r="83" spans="1:17" x14ac:dyDescent="0.3">
      <c r="A83" s="43">
        <f t="shared" si="0"/>
        <v>75</v>
      </c>
      <c r="B83" s="49" t="str">
        <f>IF('G2 MT Reading Scoresheet'!B85&lt;&gt;"",'G2 MT Reading Scoresheet'!B85,"")</f>
        <v/>
      </c>
      <c r="C83" s="50" t="str">
        <f>IF('G2 MT Reading Scoresheet'!C85&lt;&gt;"",'G2 MT Reading Scoresheet'!C85,"")</f>
        <v/>
      </c>
      <c r="D83" s="51" t="str">
        <f>IF('G2 MT Reading Scoresheet'!D85&lt;&gt;"",'G2 MT Reading Scoresheet'!D85,"")</f>
        <v/>
      </c>
      <c r="E83" s="210" t="str">
        <f>'G2 MT Reading Scoresheet'!$J85</f>
        <v/>
      </c>
      <c r="F83" s="246" t="str">
        <f>IF(C83&lt;&gt;"",'G2 MT Reading Scoresheet'!$I85/30,"")</f>
        <v/>
      </c>
      <c r="G83" s="246" t="str">
        <f>IF(AND($C83&lt;&gt;"",$E83&lt;&gt;"Full Refresher"),'G2 MT Reading Scoresheet'!$Q85,"")</f>
        <v/>
      </c>
      <c r="H83" s="246" t="str">
        <f>IF(AND(C83&lt;&gt;"",E83&lt;&gt;"Full Refresher"),'G2 MT Reading Scoresheet'!$R85/6,"")</f>
        <v/>
      </c>
      <c r="I83" s="210" t="str">
        <f>IF(AND(D83&lt;&gt;"",F83&lt;&gt;"Full Refresher"),'G2 MT Reading Scoresheet'!$P85,"")</f>
        <v/>
      </c>
      <c r="J83" s="250" t="str">
        <f>'G2 MT Reading Scoresheet'!$U85</f>
        <v/>
      </c>
      <c r="K83" s="57" t="str">
        <f>'G2 FIL Reading Scoresheet'!$J85</f>
        <v/>
      </c>
      <c r="L83" s="248" t="str">
        <f>IF($C83&lt;&gt;"",'G2 FIL Reading Scoresheet'!$I85/30,"")</f>
        <v/>
      </c>
      <c r="M83" s="248" t="str">
        <f>IF(AND($C83&lt;&gt;"",$K83&lt;&gt;"Full Refresher"),'G2 FIL Reading Scoresheet'!$Q85,"")</f>
        <v/>
      </c>
      <c r="N83" s="248" t="str">
        <f>IF(AND($C83&lt;&gt;"",K83&lt;&gt;"Full Refresher"),'G2 FIL Reading Scoresheet'!$R85/6,"")</f>
        <v/>
      </c>
      <c r="O83" s="57" t="str">
        <f>IF(AND(C83&lt;&gt;"",K83&lt;&gt;"Full Refresher"),'G2 FIL Reading Scoresheet'!$P85,"")</f>
        <v/>
      </c>
      <c r="P83" s="251" t="str">
        <f>'G2 FIL Reading Scoresheet'!$U85</f>
        <v/>
      </c>
      <c r="Q83" s="52" t="str">
        <f>CONCATENATE(IF(ISBLANK('G2 MT Reading Scoresheet'!V85),"",CONCATENATE("MT:",TRIM('G2 MT Reading Scoresheet'!V85)))," ",IF(ISBLANK('G2 FIL Reading Scoresheet'!V85),"",CONCATENATE("FIL:",TRIM('G2 FIL Reading Scoresheet'!V85))))</f>
        <v xml:space="preserve"> </v>
      </c>
    </row>
    <row r="84" spans="1:17" x14ac:dyDescent="0.3">
      <c r="A84" s="44">
        <f t="shared" si="0"/>
        <v>76</v>
      </c>
      <c r="B84" s="45" t="str">
        <f>IF('G2 MT Reading Scoresheet'!B86&lt;&gt;"",'G2 MT Reading Scoresheet'!B86,"")</f>
        <v/>
      </c>
      <c r="C84" s="46" t="str">
        <f>IF('G2 MT Reading Scoresheet'!C86&lt;&gt;"",'G2 MT Reading Scoresheet'!C86,"")</f>
        <v/>
      </c>
      <c r="D84" s="47" t="str">
        <f>IF('G2 MT Reading Scoresheet'!D86&lt;&gt;"",'G2 MT Reading Scoresheet'!D86,"")</f>
        <v/>
      </c>
      <c r="E84" s="210" t="str">
        <f>'G2 MT Reading Scoresheet'!$J86</f>
        <v/>
      </c>
      <c r="F84" s="246" t="str">
        <f>IF(C84&lt;&gt;"",'G2 MT Reading Scoresheet'!$I86/30,"")</f>
        <v/>
      </c>
      <c r="G84" s="246" t="str">
        <f>IF(AND($C84&lt;&gt;"",$E84&lt;&gt;"Full Refresher"),'G2 MT Reading Scoresheet'!$Q86,"")</f>
        <v/>
      </c>
      <c r="H84" s="246" t="str">
        <f>IF(AND(C84&lt;&gt;"",E84&lt;&gt;"Full Refresher"),'G2 MT Reading Scoresheet'!$R86/6,"")</f>
        <v/>
      </c>
      <c r="I84" s="210" t="str">
        <f>IF(AND(D84&lt;&gt;"",F84&lt;&gt;"Full Refresher"),'G2 MT Reading Scoresheet'!$P86,"")</f>
        <v/>
      </c>
      <c r="J84" s="250" t="str">
        <f>'G2 MT Reading Scoresheet'!$U86</f>
        <v/>
      </c>
      <c r="K84" s="57" t="str">
        <f>'G2 FIL Reading Scoresheet'!$J86</f>
        <v/>
      </c>
      <c r="L84" s="248" t="str">
        <f>IF($C84&lt;&gt;"",'G2 FIL Reading Scoresheet'!$I86/30,"")</f>
        <v/>
      </c>
      <c r="M84" s="248" t="str">
        <f>IF(AND($C84&lt;&gt;"",$K84&lt;&gt;"Full Refresher"),'G2 FIL Reading Scoresheet'!$Q86,"")</f>
        <v/>
      </c>
      <c r="N84" s="248" t="str">
        <f>IF(AND($C84&lt;&gt;"",K84&lt;&gt;"Full Refresher"),'G2 FIL Reading Scoresheet'!$R86/6,"")</f>
        <v/>
      </c>
      <c r="O84" s="57" t="str">
        <f>IF(AND(C84&lt;&gt;"",K84&lt;&gt;"Full Refresher"),'G2 FIL Reading Scoresheet'!$P86,"")</f>
        <v/>
      </c>
      <c r="P84" s="251" t="str">
        <f>'G2 FIL Reading Scoresheet'!$U86</f>
        <v/>
      </c>
      <c r="Q84" s="48" t="str">
        <f>CONCATENATE(IF(ISBLANK('G2 MT Reading Scoresheet'!V86),"",CONCATENATE("MT:",TRIM('G2 MT Reading Scoresheet'!V86)))," ",IF(ISBLANK('G2 FIL Reading Scoresheet'!V86),"",CONCATENATE("FIL:",TRIM('G2 FIL Reading Scoresheet'!V86))))</f>
        <v xml:space="preserve"> </v>
      </c>
    </row>
    <row r="85" spans="1:17" x14ac:dyDescent="0.3">
      <c r="A85" s="43">
        <f t="shared" si="0"/>
        <v>77</v>
      </c>
      <c r="B85" s="49" t="str">
        <f>IF('G2 MT Reading Scoresheet'!B87&lt;&gt;"",'G2 MT Reading Scoresheet'!B87,"")</f>
        <v/>
      </c>
      <c r="C85" s="50" t="str">
        <f>IF('G2 MT Reading Scoresheet'!C87&lt;&gt;"",'G2 MT Reading Scoresheet'!C87,"")</f>
        <v/>
      </c>
      <c r="D85" s="51" t="str">
        <f>IF('G2 MT Reading Scoresheet'!D87&lt;&gt;"",'G2 MT Reading Scoresheet'!D87,"")</f>
        <v/>
      </c>
      <c r="E85" s="210" t="str">
        <f>'G2 MT Reading Scoresheet'!$J87</f>
        <v/>
      </c>
      <c r="F85" s="246" t="str">
        <f>IF(C85&lt;&gt;"",'G2 MT Reading Scoresheet'!$I87/30,"")</f>
        <v/>
      </c>
      <c r="G85" s="246" t="str">
        <f>IF(AND($C85&lt;&gt;"",$E85&lt;&gt;"Full Refresher"),'G2 MT Reading Scoresheet'!$Q87,"")</f>
        <v/>
      </c>
      <c r="H85" s="246" t="str">
        <f>IF(AND(C85&lt;&gt;"",E85&lt;&gt;"Full Refresher"),'G2 MT Reading Scoresheet'!$R87/6,"")</f>
        <v/>
      </c>
      <c r="I85" s="210" t="str">
        <f>IF(AND(D85&lt;&gt;"",F85&lt;&gt;"Full Refresher"),'G2 MT Reading Scoresheet'!$P87,"")</f>
        <v/>
      </c>
      <c r="J85" s="250" t="str">
        <f>'G2 MT Reading Scoresheet'!$U87</f>
        <v/>
      </c>
      <c r="K85" s="57" t="str">
        <f>'G2 FIL Reading Scoresheet'!$J87</f>
        <v/>
      </c>
      <c r="L85" s="248" t="str">
        <f>IF($C85&lt;&gt;"",'G2 FIL Reading Scoresheet'!$I87/30,"")</f>
        <v/>
      </c>
      <c r="M85" s="248" t="str">
        <f>IF(AND($C85&lt;&gt;"",$K85&lt;&gt;"Full Refresher"),'G2 FIL Reading Scoresheet'!$Q87,"")</f>
        <v/>
      </c>
      <c r="N85" s="248" t="str">
        <f>IF(AND($C85&lt;&gt;"",K85&lt;&gt;"Full Refresher"),'G2 FIL Reading Scoresheet'!$R87/6,"")</f>
        <v/>
      </c>
      <c r="O85" s="57" t="str">
        <f>IF(AND(C85&lt;&gt;"",K85&lt;&gt;"Full Refresher"),'G2 FIL Reading Scoresheet'!$P87,"")</f>
        <v/>
      </c>
      <c r="P85" s="251" t="str">
        <f>'G2 FIL Reading Scoresheet'!$U87</f>
        <v/>
      </c>
      <c r="Q85" s="52" t="str">
        <f>CONCATENATE(IF(ISBLANK('G2 MT Reading Scoresheet'!V87),"",CONCATENATE("MT:",TRIM('G2 MT Reading Scoresheet'!V87)))," ",IF(ISBLANK('G2 FIL Reading Scoresheet'!V87),"",CONCATENATE("FIL:",TRIM('G2 FIL Reading Scoresheet'!V87))))</f>
        <v xml:space="preserve"> </v>
      </c>
    </row>
    <row r="86" spans="1:17" x14ac:dyDescent="0.3">
      <c r="A86" s="44">
        <f t="shared" si="0"/>
        <v>78</v>
      </c>
      <c r="B86" s="45" t="str">
        <f>IF('G2 MT Reading Scoresheet'!B88&lt;&gt;"",'G2 MT Reading Scoresheet'!B88,"")</f>
        <v/>
      </c>
      <c r="C86" s="46" t="str">
        <f>IF('G2 MT Reading Scoresheet'!C88&lt;&gt;"",'G2 MT Reading Scoresheet'!C88,"")</f>
        <v/>
      </c>
      <c r="D86" s="47" t="str">
        <f>IF('G2 MT Reading Scoresheet'!D88&lt;&gt;"",'G2 MT Reading Scoresheet'!D88,"")</f>
        <v/>
      </c>
      <c r="E86" s="210" t="str">
        <f>'G2 MT Reading Scoresheet'!$J88</f>
        <v/>
      </c>
      <c r="F86" s="246" t="str">
        <f>IF(C86&lt;&gt;"",'G2 MT Reading Scoresheet'!$I88/30,"")</f>
        <v/>
      </c>
      <c r="G86" s="246" t="str">
        <f>IF(AND($C86&lt;&gt;"",$E86&lt;&gt;"Full Refresher"),'G2 MT Reading Scoresheet'!$Q88,"")</f>
        <v/>
      </c>
      <c r="H86" s="246" t="str">
        <f>IF(AND(C86&lt;&gt;"",E86&lt;&gt;"Full Refresher"),'G2 MT Reading Scoresheet'!$R88/6,"")</f>
        <v/>
      </c>
      <c r="I86" s="210" t="str">
        <f>IF(AND(D86&lt;&gt;"",F86&lt;&gt;"Full Refresher"),'G2 MT Reading Scoresheet'!$P88,"")</f>
        <v/>
      </c>
      <c r="J86" s="250" t="str">
        <f>'G2 MT Reading Scoresheet'!$U88</f>
        <v/>
      </c>
      <c r="K86" s="57" t="str">
        <f>'G2 FIL Reading Scoresheet'!$J88</f>
        <v/>
      </c>
      <c r="L86" s="248" t="str">
        <f>IF($C86&lt;&gt;"",'G2 FIL Reading Scoresheet'!$I88/30,"")</f>
        <v/>
      </c>
      <c r="M86" s="248" t="str">
        <f>IF(AND($C86&lt;&gt;"",$K86&lt;&gt;"Full Refresher"),'G2 FIL Reading Scoresheet'!$Q88,"")</f>
        <v/>
      </c>
      <c r="N86" s="248" t="str">
        <f>IF(AND($C86&lt;&gt;"",K86&lt;&gt;"Full Refresher"),'G2 FIL Reading Scoresheet'!$R88/6,"")</f>
        <v/>
      </c>
      <c r="O86" s="57" t="str">
        <f>IF(AND(C86&lt;&gt;"",K86&lt;&gt;"Full Refresher"),'G2 FIL Reading Scoresheet'!$P88,"")</f>
        <v/>
      </c>
      <c r="P86" s="251" t="str">
        <f>'G2 FIL Reading Scoresheet'!$U88</f>
        <v/>
      </c>
      <c r="Q86" s="48" t="str">
        <f>CONCATENATE(IF(ISBLANK('G2 MT Reading Scoresheet'!V88),"",CONCATENATE("MT:",TRIM('G2 MT Reading Scoresheet'!V88)))," ",IF(ISBLANK('G2 FIL Reading Scoresheet'!V88),"",CONCATENATE("FIL:",TRIM('G2 FIL Reading Scoresheet'!V88))))</f>
        <v xml:space="preserve"> </v>
      </c>
    </row>
    <row r="87" spans="1:17" x14ac:dyDescent="0.3">
      <c r="A87" s="43">
        <f t="shared" si="0"/>
        <v>79</v>
      </c>
      <c r="B87" s="49" t="str">
        <f>IF('G2 MT Reading Scoresheet'!B89&lt;&gt;"",'G2 MT Reading Scoresheet'!B89,"")</f>
        <v/>
      </c>
      <c r="C87" s="50" t="str">
        <f>IF('G2 MT Reading Scoresheet'!C89&lt;&gt;"",'G2 MT Reading Scoresheet'!C89,"")</f>
        <v/>
      </c>
      <c r="D87" s="51" t="str">
        <f>IF('G2 MT Reading Scoresheet'!D89&lt;&gt;"",'G2 MT Reading Scoresheet'!D89,"")</f>
        <v/>
      </c>
      <c r="E87" s="210" t="str">
        <f>'G2 MT Reading Scoresheet'!$J89</f>
        <v/>
      </c>
      <c r="F87" s="246" t="str">
        <f>IF(C87&lt;&gt;"",'G2 MT Reading Scoresheet'!$I89/30,"")</f>
        <v/>
      </c>
      <c r="G87" s="246" t="str">
        <f>IF(AND($C87&lt;&gt;"",$E87&lt;&gt;"Full Refresher"),'G2 MT Reading Scoresheet'!$Q89,"")</f>
        <v/>
      </c>
      <c r="H87" s="246" t="str">
        <f>IF(AND(C87&lt;&gt;"",E87&lt;&gt;"Full Refresher"),'G2 MT Reading Scoresheet'!$R89/6,"")</f>
        <v/>
      </c>
      <c r="I87" s="210" t="str">
        <f>IF(AND(D87&lt;&gt;"",F87&lt;&gt;"Full Refresher"),'G2 MT Reading Scoresheet'!$P89,"")</f>
        <v/>
      </c>
      <c r="J87" s="250" t="str">
        <f>'G2 MT Reading Scoresheet'!$U89</f>
        <v/>
      </c>
      <c r="K87" s="57" t="str">
        <f>'G2 FIL Reading Scoresheet'!$J89</f>
        <v/>
      </c>
      <c r="L87" s="248" t="str">
        <f>IF($C87&lt;&gt;"",'G2 FIL Reading Scoresheet'!$I89/30,"")</f>
        <v/>
      </c>
      <c r="M87" s="248" t="str">
        <f>IF(AND($C87&lt;&gt;"",$K87&lt;&gt;"Full Refresher"),'G2 FIL Reading Scoresheet'!$Q89,"")</f>
        <v/>
      </c>
      <c r="N87" s="248" t="str">
        <f>IF(AND($C87&lt;&gt;"",K87&lt;&gt;"Full Refresher"),'G2 FIL Reading Scoresheet'!$R89/6,"")</f>
        <v/>
      </c>
      <c r="O87" s="57" t="str">
        <f>IF(AND(C87&lt;&gt;"",K87&lt;&gt;"Full Refresher"),'G2 FIL Reading Scoresheet'!$P89,"")</f>
        <v/>
      </c>
      <c r="P87" s="251" t="str">
        <f>'G2 FIL Reading Scoresheet'!$U89</f>
        <v/>
      </c>
      <c r="Q87" s="52" t="str">
        <f>CONCATENATE(IF(ISBLANK('G2 MT Reading Scoresheet'!V89),"",CONCATENATE("MT:",TRIM('G2 MT Reading Scoresheet'!V89)))," ",IF(ISBLANK('G2 FIL Reading Scoresheet'!V89),"",CONCATENATE("FIL:",TRIM('G2 FIL Reading Scoresheet'!V89))))</f>
        <v xml:space="preserve"> </v>
      </c>
    </row>
    <row r="88" spans="1:17" x14ac:dyDescent="0.3">
      <c r="A88" s="44">
        <f t="shared" si="0"/>
        <v>80</v>
      </c>
      <c r="B88" s="45" t="str">
        <f>IF('G2 MT Reading Scoresheet'!B90&lt;&gt;"",'G2 MT Reading Scoresheet'!B90,"")</f>
        <v/>
      </c>
      <c r="C88" s="46" t="str">
        <f>IF('G2 MT Reading Scoresheet'!C90&lt;&gt;"",'G2 MT Reading Scoresheet'!C90,"")</f>
        <v/>
      </c>
      <c r="D88" s="47" t="str">
        <f>IF('G2 MT Reading Scoresheet'!D90&lt;&gt;"",'G2 MT Reading Scoresheet'!D90,"")</f>
        <v/>
      </c>
      <c r="E88" s="210" t="str">
        <f>'G2 MT Reading Scoresheet'!$J90</f>
        <v/>
      </c>
      <c r="F88" s="246" t="str">
        <f>IF(C88&lt;&gt;"",'G2 MT Reading Scoresheet'!$I90/30,"")</f>
        <v/>
      </c>
      <c r="G88" s="246" t="str">
        <f>IF(AND($C88&lt;&gt;"",$E88&lt;&gt;"Full Refresher"),'G2 MT Reading Scoresheet'!$Q90,"")</f>
        <v/>
      </c>
      <c r="H88" s="246" t="str">
        <f>IF(AND(C88&lt;&gt;"",E88&lt;&gt;"Full Refresher"),'G2 MT Reading Scoresheet'!$R90/6,"")</f>
        <v/>
      </c>
      <c r="I88" s="210" t="str">
        <f>IF(AND(D88&lt;&gt;"",F88&lt;&gt;"Full Refresher"),'G2 MT Reading Scoresheet'!$P90,"")</f>
        <v/>
      </c>
      <c r="J88" s="250" t="str">
        <f>'G2 MT Reading Scoresheet'!$U90</f>
        <v/>
      </c>
      <c r="K88" s="57" t="str">
        <f>'G2 FIL Reading Scoresheet'!$J90</f>
        <v/>
      </c>
      <c r="L88" s="248" t="str">
        <f>IF($C88&lt;&gt;"",'G2 FIL Reading Scoresheet'!$I90/30,"")</f>
        <v/>
      </c>
      <c r="M88" s="248" t="str">
        <f>IF(AND($C88&lt;&gt;"",$K88&lt;&gt;"Full Refresher"),'G2 FIL Reading Scoresheet'!$Q90,"")</f>
        <v/>
      </c>
      <c r="N88" s="248" t="str">
        <f>IF(AND($C88&lt;&gt;"",K88&lt;&gt;"Full Refresher"),'G2 FIL Reading Scoresheet'!$R90/6,"")</f>
        <v/>
      </c>
      <c r="O88" s="57" t="str">
        <f>IF(AND(C88&lt;&gt;"",K88&lt;&gt;"Full Refresher"),'G2 FIL Reading Scoresheet'!$P90,"")</f>
        <v/>
      </c>
      <c r="P88" s="251" t="str">
        <f>'G2 FIL Reading Scoresheet'!$U90</f>
        <v/>
      </c>
      <c r="Q88" s="48" t="str">
        <f>CONCATENATE(IF(ISBLANK('G2 MT Reading Scoresheet'!V90),"",CONCATENATE("MT:",TRIM('G2 MT Reading Scoresheet'!V90)))," ",IF(ISBLANK('G2 FIL Reading Scoresheet'!V90),"",CONCATENATE("FIL:",TRIM('G2 FIL Reading Scoresheet'!V90))))</f>
        <v xml:space="preserve"> </v>
      </c>
    </row>
    <row r="89" spans="1:17" x14ac:dyDescent="0.3">
      <c r="A89" s="43">
        <f t="shared" si="0"/>
        <v>81</v>
      </c>
      <c r="B89" s="49" t="str">
        <f>IF('G2 MT Reading Scoresheet'!B91&lt;&gt;"",'G2 MT Reading Scoresheet'!B91,"")</f>
        <v/>
      </c>
      <c r="C89" s="50" t="str">
        <f>IF('G2 MT Reading Scoresheet'!C91&lt;&gt;"",'G2 MT Reading Scoresheet'!C91,"")</f>
        <v/>
      </c>
      <c r="D89" s="51" t="str">
        <f>IF('G2 MT Reading Scoresheet'!D91&lt;&gt;"",'G2 MT Reading Scoresheet'!D91,"")</f>
        <v/>
      </c>
      <c r="E89" s="210" t="str">
        <f>'G2 MT Reading Scoresheet'!$J91</f>
        <v/>
      </c>
      <c r="F89" s="246" t="str">
        <f>IF(C89&lt;&gt;"",'G2 MT Reading Scoresheet'!$I91/30,"")</f>
        <v/>
      </c>
      <c r="G89" s="246" t="str">
        <f>IF(AND($C89&lt;&gt;"",$E89&lt;&gt;"Full Refresher"),'G2 MT Reading Scoresheet'!$Q91,"")</f>
        <v/>
      </c>
      <c r="H89" s="246" t="str">
        <f>IF(AND(C89&lt;&gt;"",E89&lt;&gt;"Full Refresher"),'G2 MT Reading Scoresheet'!$R91/6,"")</f>
        <v/>
      </c>
      <c r="I89" s="210" t="str">
        <f>IF(AND(D89&lt;&gt;"",F89&lt;&gt;"Full Refresher"),'G2 MT Reading Scoresheet'!$P91,"")</f>
        <v/>
      </c>
      <c r="J89" s="250" t="str">
        <f>'G2 MT Reading Scoresheet'!$U91</f>
        <v/>
      </c>
      <c r="K89" s="57" t="str">
        <f>'G2 FIL Reading Scoresheet'!$J91</f>
        <v/>
      </c>
      <c r="L89" s="248" t="str">
        <f>IF($C89&lt;&gt;"",'G2 FIL Reading Scoresheet'!$I91/30,"")</f>
        <v/>
      </c>
      <c r="M89" s="248" t="str">
        <f>IF(AND($C89&lt;&gt;"",$K89&lt;&gt;"Full Refresher"),'G2 FIL Reading Scoresheet'!$Q91,"")</f>
        <v/>
      </c>
      <c r="N89" s="248" t="str">
        <f>IF(AND($C89&lt;&gt;"",K89&lt;&gt;"Full Refresher"),'G2 FIL Reading Scoresheet'!$R91/6,"")</f>
        <v/>
      </c>
      <c r="O89" s="57" t="str">
        <f>IF(AND(C89&lt;&gt;"",K89&lt;&gt;"Full Refresher"),'G2 FIL Reading Scoresheet'!$P91,"")</f>
        <v/>
      </c>
      <c r="P89" s="251" t="str">
        <f>'G2 FIL Reading Scoresheet'!$U91</f>
        <v/>
      </c>
      <c r="Q89" s="52" t="str">
        <f>CONCATENATE(IF(ISBLANK('G2 MT Reading Scoresheet'!V91),"",CONCATENATE("MT:",TRIM('G2 MT Reading Scoresheet'!V91)))," ",IF(ISBLANK('G2 FIL Reading Scoresheet'!V91),"",CONCATENATE("FIL:",TRIM('G2 FIL Reading Scoresheet'!V91))))</f>
        <v xml:space="preserve"> </v>
      </c>
    </row>
    <row r="90" spans="1:17" x14ac:dyDescent="0.3">
      <c r="A90" s="44">
        <f t="shared" si="0"/>
        <v>82</v>
      </c>
      <c r="B90" s="45" t="str">
        <f>IF('G2 MT Reading Scoresheet'!B92&lt;&gt;"",'G2 MT Reading Scoresheet'!B92,"")</f>
        <v/>
      </c>
      <c r="C90" s="46" t="str">
        <f>IF('G2 MT Reading Scoresheet'!C92&lt;&gt;"",'G2 MT Reading Scoresheet'!C92,"")</f>
        <v/>
      </c>
      <c r="D90" s="47" t="str">
        <f>IF('G2 MT Reading Scoresheet'!D92&lt;&gt;"",'G2 MT Reading Scoresheet'!D92,"")</f>
        <v/>
      </c>
      <c r="E90" s="210" t="str">
        <f>'G2 MT Reading Scoresheet'!$J92</f>
        <v/>
      </c>
      <c r="F90" s="246" t="str">
        <f>IF(C90&lt;&gt;"",'G2 MT Reading Scoresheet'!$I92/30,"")</f>
        <v/>
      </c>
      <c r="G90" s="246" t="str">
        <f>IF(AND($C90&lt;&gt;"",$E90&lt;&gt;"Full Refresher"),'G2 MT Reading Scoresheet'!$Q92,"")</f>
        <v/>
      </c>
      <c r="H90" s="246" t="str">
        <f>IF(AND(C90&lt;&gt;"",E90&lt;&gt;"Full Refresher"),'G2 MT Reading Scoresheet'!$R92/6,"")</f>
        <v/>
      </c>
      <c r="I90" s="210" t="str">
        <f>IF(AND(D90&lt;&gt;"",F90&lt;&gt;"Full Refresher"),'G2 MT Reading Scoresheet'!$P92,"")</f>
        <v/>
      </c>
      <c r="J90" s="250" t="str">
        <f>'G2 MT Reading Scoresheet'!$U92</f>
        <v/>
      </c>
      <c r="K90" s="57" t="str">
        <f>'G2 FIL Reading Scoresheet'!$J92</f>
        <v/>
      </c>
      <c r="L90" s="248" t="str">
        <f>IF($C90&lt;&gt;"",'G2 FIL Reading Scoresheet'!$I92/30,"")</f>
        <v/>
      </c>
      <c r="M90" s="248" t="str">
        <f>IF(AND($C90&lt;&gt;"",$K90&lt;&gt;"Full Refresher"),'G2 FIL Reading Scoresheet'!$Q92,"")</f>
        <v/>
      </c>
      <c r="N90" s="248" t="str">
        <f>IF(AND($C90&lt;&gt;"",K90&lt;&gt;"Full Refresher"),'G2 FIL Reading Scoresheet'!$R92/6,"")</f>
        <v/>
      </c>
      <c r="O90" s="57" t="str">
        <f>IF(AND(C90&lt;&gt;"",K90&lt;&gt;"Full Refresher"),'G2 FIL Reading Scoresheet'!$P92,"")</f>
        <v/>
      </c>
      <c r="P90" s="251" t="str">
        <f>'G2 FIL Reading Scoresheet'!$U92</f>
        <v/>
      </c>
      <c r="Q90" s="48" t="str">
        <f>CONCATENATE(IF(ISBLANK('G2 MT Reading Scoresheet'!V92),"",CONCATENATE("MT:",TRIM('G2 MT Reading Scoresheet'!V92)))," ",IF(ISBLANK('G2 FIL Reading Scoresheet'!V92),"",CONCATENATE("FIL:",TRIM('G2 FIL Reading Scoresheet'!V92))))</f>
        <v xml:space="preserve"> </v>
      </c>
    </row>
    <row r="91" spans="1:17" x14ac:dyDescent="0.3">
      <c r="A91" s="43">
        <f t="shared" si="0"/>
        <v>83</v>
      </c>
      <c r="B91" s="49" t="str">
        <f>IF('G2 MT Reading Scoresheet'!B93&lt;&gt;"",'G2 MT Reading Scoresheet'!B93,"")</f>
        <v/>
      </c>
      <c r="C91" s="50" t="str">
        <f>IF('G2 MT Reading Scoresheet'!C93&lt;&gt;"",'G2 MT Reading Scoresheet'!C93,"")</f>
        <v/>
      </c>
      <c r="D91" s="51" t="str">
        <f>IF('G2 MT Reading Scoresheet'!D93&lt;&gt;"",'G2 MT Reading Scoresheet'!D93,"")</f>
        <v/>
      </c>
      <c r="E91" s="210" t="str">
        <f>'G2 MT Reading Scoresheet'!$J93</f>
        <v/>
      </c>
      <c r="F91" s="246" t="str">
        <f>IF(C91&lt;&gt;"",'G2 MT Reading Scoresheet'!$I93/30,"")</f>
        <v/>
      </c>
      <c r="G91" s="246" t="str">
        <f>IF(AND($C91&lt;&gt;"",$E91&lt;&gt;"Full Refresher"),'G2 MT Reading Scoresheet'!$Q93,"")</f>
        <v/>
      </c>
      <c r="H91" s="246" t="str">
        <f>IF(AND(C91&lt;&gt;"",E91&lt;&gt;"Full Refresher"),'G2 MT Reading Scoresheet'!$R93/6,"")</f>
        <v/>
      </c>
      <c r="I91" s="210" t="str">
        <f>IF(AND(D91&lt;&gt;"",F91&lt;&gt;"Full Refresher"),'G2 MT Reading Scoresheet'!$P93,"")</f>
        <v/>
      </c>
      <c r="J91" s="250" t="str">
        <f>'G2 MT Reading Scoresheet'!$U93</f>
        <v/>
      </c>
      <c r="K91" s="57" t="str">
        <f>'G2 FIL Reading Scoresheet'!$J93</f>
        <v/>
      </c>
      <c r="L91" s="248" t="str">
        <f>IF($C91&lt;&gt;"",'G2 FIL Reading Scoresheet'!$I93/30,"")</f>
        <v/>
      </c>
      <c r="M91" s="248" t="str">
        <f>IF(AND($C91&lt;&gt;"",$K91&lt;&gt;"Full Refresher"),'G2 FIL Reading Scoresheet'!$Q93,"")</f>
        <v/>
      </c>
      <c r="N91" s="248" t="str">
        <f>IF(AND($C91&lt;&gt;"",K91&lt;&gt;"Full Refresher"),'G2 FIL Reading Scoresheet'!$R93/6,"")</f>
        <v/>
      </c>
      <c r="O91" s="57" t="str">
        <f>IF(AND(C91&lt;&gt;"",K91&lt;&gt;"Full Refresher"),'G2 FIL Reading Scoresheet'!$P93,"")</f>
        <v/>
      </c>
      <c r="P91" s="251" t="str">
        <f>'G2 FIL Reading Scoresheet'!$U93</f>
        <v/>
      </c>
      <c r="Q91" s="52" t="str">
        <f>CONCATENATE(IF(ISBLANK('G2 MT Reading Scoresheet'!V93),"",CONCATENATE("MT:",TRIM('G2 MT Reading Scoresheet'!V93)))," ",IF(ISBLANK('G2 FIL Reading Scoresheet'!V93),"",CONCATENATE("FIL:",TRIM('G2 FIL Reading Scoresheet'!V93))))</f>
        <v xml:space="preserve"> </v>
      </c>
    </row>
    <row r="92" spans="1:17" x14ac:dyDescent="0.3">
      <c r="A92" s="44">
        <f t="shared" si="0"/>
        <v>84</v>
      </c>
      <c r="B92" s="45" t="str">
        <f>IF('G2 MT Reading Scoresheet'!B94&lt;&gt;"",'G2 MT Reading Scoresheet'!B94,"")</f>
        <v/>
      </c>
      <c r="C92" s="46" t="str">
        <f>IF('G2 MT Reading Scoresheet'!C94&lt;&gt;"",'G2 MT Reading Scoresheet'!C94,"")</f>
        <v/>
      </c>
      <c r="D92" s="47" t="str">
        <f>IF('G2 MT Reading Scoresheet'!D94&lt;&gt;"",'G2 MT Reading Scoresheet'!D94,"")</f>
        <v/>
      </c>
      <c r="E92" s="210" t="str">
        <f>'G2 MT Reading Scoresheet'!$J94</f>
        <v/>
      </c>
      <c r="F92" s="246" t="str">
        <f>IF(C92&lt;&gt;"",'G2 MT Reading Scoresheet'!$I94/30,"")</f>
        <v/>
      </c>
      <c r="G92" s="246" t="str">
        <f>IF(AND($C92&lt;&gt;"",$E92&lt;&gt;"Full Refresher"),'G2 MT Reading Scoresheet'!$Q94,"")</f>
        <v/>
      </c>
      <c r="H92" s="246" t="str">
        <f>IF(AND(C92&lt;&gt;"",E92&lt;&gt;"Full Refresher"),'G2 MT Reading Scoresheet'!$R94/6,"")</f>
        <v/>
      </c>
      <c r="I92" s="210" t="str">
        <f>IF(AND(D92&lt;&gt;"",F92&lt;&gt;"Full Refresher"),'G2 MT Reading Scoresheet'!$P94,"")</f>
        <v/>
      </c>
      <c r="J92" s="250" t="str">
        <f>'G2 MT Reading Scoresheet'!$U94</f>
        <v/>
      </c>
      <c r="K92" s="57" t="str">
        <f>'G2 FIL Reading Scoresheet'!$J94</f>
        <v/>
      </c>
      <c r="L92" s="248" t="str">
        <f>IF($C92&lt;&gt;"",'G2 FIL Reading Scoresheet'!$I94/30,"")</f>
        <v/>
      </c>
      <c r="M92" s="248" t="str">
        <f>IF(AND($C92&lt;&gt;"",$K92&lt;&gt;"Full Refresher"),'G2 FIL Reading Scoresheet'!$Q94,"")</f>
        <v/>
      </c>
      <c r="N92" s="248" t="str">
        <f>IF(AND($C92&lt;&gt;"",K92&lt;&gt;"Full Refresher"),'G2 FIL Reading Scoresheet'!$R94/6,"")</f>
        <v/>
      </c>
      <c r="O92" s="57" t="str">
        <f>IF(AND(C92&lt;&gt;"",K92&lt;&gt;"Full Refresher"),'G2 FIL Reading Scoresheet'!$P94,"")</f>
        <v/>
      </c>
      <c r="P92" s="251" t="str">
        <f>'G2 FIL Reading Scoresheet'!$U94</f>
        <v/>
      </c>
      <c r="Q92" s="48" t="str">
        <f>CONCATENATE(IF(ISBLANK('G2 MT Reading Scoresheet'!V94),"",CONCATENATE("MT:",TRIM('G2 MT Reading Scoresheet'!V94)))," ",IF(ISBLANK('G2 FIL Reading Scoresheet'!V94),"",CONCATENATE("FIL:",TRIM('G2 FIL Reading Scoresheet'!V94))))</f>
        <v xml:space="preserve"> </v>
      </c>
    </row>
    <row r="93" spans="1:17" x14ac:dyDescent="0.3">
      <c r="A93" s="43">
        <f t="shared" si="0"/>
        <v>85</v>
      </c>
      <c r="B93" s="49" t="str">
        <f>IF('G2 MT Reading Scoresheet'!B95&lt;&gt;"",'G2 MT Reading Scoresheet'!B95,"")</f>
        <v/>
      </c>
      <c r="C93" s="50" t="str">
        <f>IF('G2 MT Reading Scoresheet'!C95&lt;&gt;"",'G2 MT Reading Scoresheet'!C95,"")</f>
        <v/>
      </c>
      <c r="D93" s="51" t="str">
        <f>IF('G2 MT Reading Scoresheet'!D95&lt;&gt;"",'G2 MT Reading Scoresheet'!D95,"")</f>
        <v/>
      </c>
      <c r="E93" s="210" t="str">
        <f>'G2 MT Reading Scoresheet'!$J95</f>
        <v/>
      </c>
      <c r="F93" s="246" t="str">
        <f>IF(C93&lt;&gt;"",'G2 MT Reading Scoresheet'!$I95/30,"")</f>
        <v/>
      </c>
      <c r="G93" s="246" t="str">
        <f>IF(AND($C93&lt;&gt;"",$E93&lt;&gt;"Full Refresher"),'G2 MT Reading Scoresheet'!$Q95,"")</f>
        <v/>
      </c>
      <c r="H93" s="246" t="str">
        <f>IF(AND(C93&lt;&gt;"",E93&lt;&gt;"Full Refresher"),'G2 MT Reading Scoresheet'!$R95/6,"")</f>
        <v/>
      </c>
      <c r="I93" s="210" t="str">
        <f>IF(AND(D93&lt;&gt;"",F93&lt;&gt;"Full Refresher"),'G2 MT Reading Scoresheet'!$P95,"")</f>
        <v/>
      </c>
      <c r="J93" s="250" t="str">
        <f>'G2 MT Reading Scoresheet'!$U95</f>
        <v/>
      </c>
      <c r="K93" s="57" t="str">
        <f>'G2 FIL Reading Scoresheet'!$J95</f>
        <v/>
      </c>
      <c r="L93" s="248" t="str">
        <f>IF($C93&lt;&gt;"",'G2 FIL Reading Scoresheet'!$I95/30,"")</f>
        <v/>
      </c>
      <c r="M93" s="248" t="str">
        <f>IF(AND($C93&lt;&gt;"",$K93&lt;&gt;"Full Refresher"),'G2 FIL Reading Scoresheet'!$Q95,"")</f>
        <v/>
      </c>
      <c r="N93" s="248" t="str">
        <f>IF(AND($C93&lt;&gt;"",K93&lt;&gt;"Full Refresher"),'G2 FIL Reading Scoresheet'!$R95/6,"")</f>
        <v/>
      </c>
      <c r="O93" s="57" t="str">
        <f>IF(AND(C93&lt;&gt;"",K93&lt;&gt;"Full Refresher"),'G2 FIL Reading Scoresheet'!$P95,"")</f>
        <v/>
      </c>
      <c r="P93" s="251" t="str">
        <f>'G2 FIL Reading Scoresheet'!$U95</f>
        <v/>
      </c>
      <c r="Q93" s="52" t="str">
        <f>CONCATENATE(IF(ISBLANK('G2 MT Reading Scoresheet'!V95),"",CONCATENATE("MT:",TRIM('G2 MT Reading Scoresheet'!V95)))," ",IF(ISBLANK('G2 FIL Reading Scoresheet'!V95),"",CONCATENATE("FIL:",TRIM('G2 FIL Reading Scoresheet'!V95))))</f>
        <v xml:space="preserve"> </v>
      </c>
    </row>
    <row r="94" spans="1:17" x14ac:dyDescent="0.3">
      <c r="A94" s="44">
        <f t="shared" si="0"/>
        <v>86</v>
      </c>
      <c r="B94" s="45" t="str">
        <f>IF('G2 MT Reading Scoresheet'!B96&lt;&gt;"",'G2 MT Reading Scoresheet'!B96,"")</f>
        <v/>
      </c>
      <c r="C94" s="46" t="str">
        <f>IF('G2 MT Reading Scoresheet'!C96&lt;&gt;"",'G2 MT Reading Scoresheet'!C96,"")</f>
        <v/>
      </c>
      <c r="D94" s="47" t="str">
        <f>IF('G2 MT Reading Scoresheet'!D96&lt;&gt;"",'G2 MT Reading Scoresheet'!D96,"")</f>
        <v/>
      </c>
      <c r="E94" s="210" t="str">
        <f>'G2 MT Reading Scoresheet'!$J96</f>
        <v/>
      </c>
      <c r="F94" s="246" t="str">
        <f>IF(C94&lt;&gt;"",'G2 MT Reading Scoresheet'!$I96/30,"")</f>
        <v/>
      </c>
      <c r="G94" s="246" t="str">
        <f>IF(AND($C94&lt;&gt;"",$E94&lt;&gt;"Full Refresher"),'G2 MT Reading Scoresheet'!$Q96,"")</f>
        <v/>
      </c>
      <c r="H94" s="246" t="str">
        <f>IF(AND(C94&lt;&gt;"",E94&lt;&gt;"Full Refresher"),'G2 MT Reading Scoresheet'!$R96/6,"")</f>
        <v/>
      </c>
      <c r="I94" s="210" t="str">
        <f>IF(AND(D94&lt;&gt;"",F94&lt;&gt;"Full Refresher"),'G2 MT Reading Scoresheet'!$P96,"")</f>
        <v/>
      </c>
      <c r="J94" s="250" t="str">
        <f>'G2 MT Reading Scoresheet'!$U96</f>
        <v/>
      </c>
      <c r="K94" s="57" t="str">
        <f>'G2 FIL Reading Scoresheet'!$J96</f>
        <v/>
      </c>
      <c r="L94" s="248" t="str">
        <f>IF($C94&lt;&gt;"",'G2 FIL Reading Scoresheet'!$I96/30,"")</f>
        <v/>
      </c>
      <c r="M94" s="248" t="str">
        <f>IF(AND($C94&lt;&gt;"",$K94&lt;&gt;"Full Refresher"),'G2 FIL Reading Scoresheet'!$Q96,"")</f>
        <v/>
      </c>
      <c r="N94" s="248" t="str">
        <f>IF(AND($C94&lt;&gt;"",K94&lt;&gt;"Full Refresher"),'G2 FIL Reading Scoresheet'!$R96/6,"")</f>
        <v/>
      </c>
      <c r="O94" s="57" t="str">
        <f>IF(AND(C94&lt;&gt;"",K94&lt;&gt;"Full Refresher"),'G2 FIL Reading Scoresheet'!$P96,"")</f>
        <v/>
      </c>
      <c r="P94" s="251" t="str">
        <f>'G2 FIL Reading Scoresheet'!$U96</f>
        <v/>
      </c>
      <c r="Q94" s="48" t="str">
        <f>CONCATENATE(IF(ISBLANK('G2 MT Reading Scoresheet'!V96),"",CONCATENATE("MT:",TRIM('G2 MT Reading Scoresheet'!V96)))," ",IF(ISBLANK('G2 FIL Reading Scoresheet'!V96),"",CONCATENATE("FIL:",TRIM('G2 FIL Reading Scoresheet'!V96))))</f>
        <v xml:space="preserve"> </v>
      </c>
    </row>
    <row r="95" spans="1:17" x14ac:dyDescent="0.3">
      <c r="A95" s="43">
        <f t="shared" si="0"/>
        <v>87</v>
      </c>
      <c r="B95" s="49" t="str">
        <f>IF('G2 MT Reading Scoresheet'!B97&lt;&gt;"",'G2 MT Reading Scoresheet'!B97,"")</f>
        <v/>
      </c>
      <c r="C95" s="50" t="str">
        <f>IF('G2 MT Reading Scoresheet'!C97&lt;&gt;"",'G2 MT Reading Scoresheet'!C97,"")</f>
        <v/>
      </c>
      <c r="D95" s="51" t="str">
        <f>IF('G2 MT Reading Scoresheet'!D97&lt;&gt;"",'G2 MT Reading Scoresheet'!D97,"")</f>
        <v/>
      </c>
      <c r="E95" s="210" t="str">
        <f>'G2 MT Reading Scoresheet'!$J97</f>
        <v/>
      </c>
      <c r="F95" s="246" t="str">
        <f>IF(C95&lt;&gt;"",'G2 MT Reading Scoresheet'!$I97/30,"")</f>
        <v/>
      </c>
      <c r="G95" s="246" t="str">
        <f>IF(AND($C95&lt;&gt;"",$E95&lt;&gt;"Full Refresher"),'G2 MT Reading Scoresheet'!$Q97,"")</f>
        <v/>
      </c>
      <c r="H95" s="246" t="str">
        <f>IF(AND(C95&lt;&gt;"",E95&lt;&gt;"Full Refresher"),'G2 MT Reading Scoresheet'!$R97/6,"")</f>
        <v/>
      </c>
      <c r="I95" s="210" t="str">
        <f>IF(AND(D95&lt;&gt;"",F95&lt;&gt;"Full Refresher"),'G2 MT Reading Scoresheet'!$P97,"")</f>
        <v/>
      </c>
      <c r="J95" s="250" t="str">
        <f>'G2 MT Reading Scoresheet'!$U97</f>
        <v/>
      </c>
      <c r="K95" s="57" t="str">
        <f>'G2 FIL Reading Scoresheet'!$J97</f>
        <v/>
      </c>
      <c r="L95" s="248" t="str">
        <f>IF($C95&lt;&gt;"",'G2 FIL Reading Scoresheet'!$I97/30,"")</f>
        <v/>
      </c>
      <c r="M95" s="248" t="str">
        <f>IF(AND($C95&lt;&gt;"",$K95&lt;&gt;"Full Refresher"),'G2 FIL Reading Scoresheet'!$Q97,"")</f>
        <v/>
      </c>
      <c r="N95" s="248" t="str">
        <f>IF(AND($C95&lt;&gt;"",K95&lt;&gt;"Full Refresher"),'G2 FIL Reading Scoresheet'!$R97/6,"")</f>
        <v/>
      </c>
      <c r="O95" s="57" t="str">
        <f>IF(AND(C95&lt;&gt;"",K95&lt;&gt;"Full Refresher"),'G2 FIL Reading Scoresheet'!$P97,"")</f>
        <v/>
      </c>
      <c r="P95" s="251" t="str">
        <f>'G2 FIL Reading Scoresheet'!$U97</f>
        <v/>
      </c>
      <c r="Q95" s="52" t="str">
        <f>CONCATENATE(IF(ISBLANK('G2 MT Reading Scoresheet'!V97),"",CONCATENATE("MT:",TRIM('G2 MT Reading Scoresheet'!V97)))," ",IF(ISBLANK('G2 FIL Reading Scoresheet'!V97),"",CONCATENATE("FIL:",TRIM('G2 FIL Reading Scoresheet'!V97))))</f>
        <v xml:space="preserve"> </v>
      </c>
    </row>
    <row r="96" spans="1:17" x14ac:dyDescent="0.3">
      <c r="A96" s="44">
        <f t="shared" si="0"/>
        <v>88</v>
      </c>
      <c r="B96" s="45" t="str">
        <f>IF('G2 MT Reading Scoresheet'!B98&lt;&gt;"",'G2 MT Reading Scoresheet'!B98,"")</f>
        <v/>
      </c>
      <c r="C96" s="46" t="str">
        <f>IF('G2 MT Reading Scoresheet'!C98&lt;&gt;"",'G2 MT Reading Scoresheet'!C98,"")</f>
        <v/>
      </c>
      <c r="D96" s="47" t="str">
        <f>IF('G2 MT Reading Scoresheet'!D98&lt;&gt;"",'G2 MT Reading Scoresheet'!D98,"")</f>
        <v/>
      </c>
      <c r="E96" s="210" t="str">
        <f>'G2 MT Reading Scoresheet'!$J98</f>
        <v/>
      </c>
      <c r="F96" s="246" t="str">
        <f>IF(C96&lt;&gt;"",'G2 MT Reading Scoresheet'!$I98/30,"")</f>
        <v/>
      </c>
      <c r="G96" s="246" t="str">
        <f>IF(AND($C96&lt;&gt;"",$E96&lt;&gt;"Full Refresher"),'G2 MT Reading Scoresheet'!$Q98,"")</f>
        <v/>
      </c>
      <c r="H96" s="246" t="str">
        <f>IF(AND(C96&lt;&gt;"",E96&lt;&gt;"Full Refresher"),'G2 MT Reading Scoresheet'!$R98/6,"")</f>
        <v/>
      </c>
      <c r="I96" s="210" t="str">
        <f>IF(AND(D96&lt;&gt;"",F96&lt;&gt;"Full Refresher"),'G2 MT Reading Scoresheet'!$P98,"")</f>
        <v/>
      </c>
      <c r="J96" s="250" t="str">
        <f>'G2 MT Reading Scoresheet'!$U98</f>
        <v/>
      </c>
      <c r="K96" s="57" t="str">
        <f>'G2 FIL Reading Scoresheet'!$J98</f>
        <v/>
      </c>
      <c r="L96" s="248" t="str">
        <f>IF($C96&lt;&gt;"",'G2 FIL Reading Scoresheet'!$I98/30,"")</f>
        <v/>
      </c>
      <c r="M96" s="248" t="str">
        <f>IF(AND($C96&lt;&gt;"",$K96&lt;&gt;"Full Refresher"),'G2 FIL Reading Scoresheet'!$Q98,"")</f>
        <v/>
      </c>
      <c r="N96" s="248" t="str">
        <f>IF(AND($C96&lt;&gt;"",K96&lt;&gt;"Full Refresher"),'G2 FIL Reading Scoresheet'!$R98/6,"")</f>
        <v/>
      </c>
      <c r="O96" s="57" t="str">
        <f>IF(AND(C96&lt;&gt;"",K96&lt;&gt;"Full Refresher"),'G2 FIL Reading Scoresheet'!$P98,"")</f>
        <v/>
      </c>
      <c r="P96" s="251" t="str">
        <f>'G2 FIL Reading Scoresheet'!$U98</f>
        <v/>
      </c>
      <c r="Q96" s="48" t="str">
        <f>CONCATENATE(IF(ISBLANK('G2 MT Reading Scoresheet'!V98),"",CONCATENATE("MT:",TRIM('G2 MT Reading Scoresheet'!V98)))," ",IF(ISBLANK('G2 FIL Reading Scoresheet'!V98),"",CONCATENATE("FIL:",TRIM('G2 FIL Reading Scoresheet'!V98))))</f>
        <v xml:space="preserve"> </v>
      </c>
    </row>
    <row r="97" spans="1:17" x14ac:dyDescent="0.3">
      <c r="A97" s="43">
        <f t="shared" si="0"/>
        <v>89</v>
      </c>
      <c r="B97" s="49" t="str">
        <f>IF('G2 MT Reading Scoresheet'!B99&lt;&gt;"",'G2 MT Reading Scoresheet'!B99,"")</f>
        <v/>
      </c>
      <c r="C97" s="50" t="str">
        <f>IF('G2 MT Reading Scoresheet'!C99&lt;&gt;"",'G2 MT Reading Scoresheet'!C99,"")</f>
        <v/>
      </c>
      <c r="D97" s="51" t="str">
        <f>IF('G2 MT Reading Scoresheet'!D99&lt;&gt;"",'G2 MT Reading Scoresheet'!D99,"")</f>
        <v/>
      </c>
      <c r="E97" s="210" t="str">
        <f>'G2 MT Reading Scoresheet'!$J99</f>
        <v/>
      </c>
      <c r="F97" s="246" t="str">
        <f>IF(C97&lt;&gt;"",'G2 MT Reading Scoresheet'!$I99/30,"")</f>
        <v/>
      </c>
      <c r="G97" s="246" t="str">
        <f>IF(AND($C97&lt;&gt;"",$E97&lt;&gt;"Full Refresher"),'G2 MT Reading Scoresheet'!$Q99,"")</f>
        <v/>
      </c>
      <c r="H97" s="246" t="str">
        <f>IF(AND(C97&lt;&gt;"",E97&lt;&gt;"Full Refresher"),'G2 MT Reading Scoresheet'!$R99/6,"")</f>
        <v/>
      </c>
      <c r="I97" s="210" t="str">
        <f>IF(AND(D97&lt;&gt;"",F97&lt;&gt;"Full Refresher"),'G2 MT Reading Scoresheet'!$P99,"")</f>
        <v/>
      </c>
      <c r="J97" s="250" t="str">
        <f>'G2 MT Reading Scoresheet'!$U99</f>
        <v/>
      </c>
      <c r="K97" s="57" t="str">
        <f>'G2 FIL Reading Scoresheet'!$J99</f>
        <v/>
      </c>
      <c r="L97" s="248" t="str">
        <f>IF($C97&lt;&gt;"",'G2 FIL Reading Scoresheet'!$I99/30,"")</f>
        <v/>
      </c>
      <c r="M97" s="248" t="str">
        <f>IF(AND($C97&lt;&gt;"",$K97&lt;&gt;"Full Refresher"),'G2 FIL Reading Scoresheet'!$Q99,"")</f>
        <v/>
      </c>
      <c r="N97" s="248" t="str">
        <f>IF(AND($C97&lt;&gt;"",K97&lt;&gt;"Full Refresher"),'G2 FIL Reading Scoresheet'!$R99/6,"")</f>
        <v/>
      </c>
      <c r="O97" s="57" t="str">
        <f>IF(AND(C97&lt;&gt;"",K97&lt;&gt;"Full Refresher"),'G2 FIL Reading Scoresheet'!$P99,"")</f>
        <v/>
      </c>
      <c r="P97" s="251" t="str">
        <f>'G2 FIL Reading Scoresheet'!$U99</f>
        <v/>
      </c>
      <c r="Q97" s="52" t="str">
        <f>CONCATENATE(IF(ISBLANK('G2 MT Reading Scoresheet'!V99),"",CONCATENATE("MT:",TRIM('G2 MT Reading Scoresheet'!V99)))," ",IF(ISBLANK('G2 FIL Reading Scoresheet'!V99),"",CONCATENATE("FIL:",TRIM('G2 FIL Reading Scoresheet'!V99))))</f>
        <v xml:space="preserve"> </v>
      </c>
    </row>
    <row r="98" spans="1:17" x14ac:dyDescent="0.3">
      <c r="A98" s="44">
        <f t="shared" si="0"/>
        <v>90</v>
      </c>
      <c r="B98" s="45" t="str">
        <f>IF('G2 MT Reading Scoresheet'!B100&lt;&gt;"",'G2 MT Reading Scoresheet'!B100,"")</f>
        <v/>
      </c>
      <c r="C98" s="46" t="str">
        <f>IF('G2 MT Reading Scoresheet'!C100&lt;&gt;"",'G2 MT Reading Scoresheet'!C100,"")</f>
        <v/>
      </c>
      <c r="D98" s="47" t="str">
        <f>IF('G2 MT Reading Scoresheet'!D100&lt;&gt;"",'G2 MT Reading Scoresheet'!D100,"")</f>
        <v/>
      </c>
      <c r="E98" s="210" t="str">
        <f>'G2 MT Reading Scoresheet'!$J100</f>
        <v/>
      </c>
      <c r="F98" s="246" t="str">
        <f>IF(C98&lt;&gt;"",'G2 MT Reading Scoresheet'!$I100/30,"")</f>
        <v/>
      </c>
      <c r="G98" s="246" t="str">
        <f>IF(AND($C98&lt;&gt;"",$E98&lt;&gt;"Full Refresher"),'G2 MT Reading Scoresheet'!$Q100,"")</f>
        <v/>
      </c>
      <c r="H98" s="246" t="str">
        <f>IF(AND(C98&lt;&gt;"",E98&lt;&gt;"Full Refresher"),'G2 MT Reading Scoresheet'!$R100/6,"")</f>
        <v/>
      </c>
      <c r="I98" s="210" t="str">
        <f>IF(AND(D98&lt;&gt;"",F98&lt;&gt;"Full Refresher"),'G2 MT Reading Scoresheet'!$P100,"")</f>
        <v/>
      </c>
      <c r="J98" s="250" t="str">
        <f>'G2 MT Reading Scoresheet'!$U100</f>
        <v/>
      </c>
      <c r="K98" s="57" t="str">
        <f>'G2 FIL Reading Scoresheet'!$J100</f>
        <v/>
      </c>
      <c r="L98" s="248" t="str">
        <f>IF($C98&lt;&gt;"",'G2 FIL Reading Scoresheet'!$I100/30,"")</f>
        <v/>
      </c>
      <c r="M98" s="248" t="str">
        <f>IF(AND($C98&lt;&gt;"",$K98&lt;&gt;"Full Refresher"),'G2 FIL Reading Scoresheet'!$Q100,"")</f>
        <v/>
      </c>
      <c r="N98" s="248" t="str">
        <f>IF(AND($C98&lt;&gt;"",K98&lt;&gt;"Full Refresher"),'G2 FIL Reading Scoresheet'!$R100/6,"")</f>
        <v/>
      </c>
      <c r="O98" s="57" t="str">
        <f>IF(AND(C98&lt;&gt;"",K98&lt;&gt;"Full Refresher"),'G2 FIL Reading Scoresheet'!$P100,"")</f>
        <v/>
      </c>
      <c r="P98" s="251" t="str">
        <f>'G2 FIL Reading Scoresheet'!$U100</f>
        <v/>
      </c>
      <c r="Q98" s="48" t="str">
        <f>CONCATENATE(IF(ISBLANK('G2 MT Reading Scoresheet'!V100),"",CONCATENATE("MT:",TRIM('G2 MT Reading Scoresheet'!V100)))," ",IF(ISBLANK('G2 FIL Reading Scoresheet'!V100),"",CONCATENATE("FIL:",TRIM('G2 FIL Reading Scoresheet'!V100))))</f>
        <v xml:space="preserve"> </v>
      </c>
    </row>
    <row r="99" spans="1:17" x14ac:dyDescent="0.3">
      <c r="A99" s="43">
        <f t="shared" si="0"/>
        <v>91</v>
      </c>
      <c r="B99" s="49" t="str">
        <f>IF('G2 MT Reading Scoresheet'!B101&lt;&gt;"",'G2 MT Reading Scoresheet'!B101,"")</f>
        <v/>
      </c>
      <c r="C99" s="50" t="str">
        <f>IF('G2 MT Reading Scoresheet'!C101&lt;&gt;"",'G2 MT Reading Scoresheet'!C101,"")</f>
        <v/>
      </c>
      <c r="D99" s="51" t="str">
        <f>IF('G2 MT Reading Scoresheet'!D101&lt;&gt;"",'G2 MT Reading Scoresheet'!D101,"")</f>
        <v/>
      </c>
      <c r="E99" s="210" t="str">
        <f>'G2 MT Reading Scoresheet'!$J101</f>
        <v/>
      </c>
      <c r="F99" s="246" t="str">
        <f>IF(C99&lt;&gt;"",'G2 MT Reading Scoresheet'!$I101/30,"")</f>
        <v/>
      </c>
      <c r="G99" s="246" t="str">
        <f>IF(AND($C99&lt;&gt;"",$E99&lt;&gt;"Full Refresher"),'G2 MT Reading Scoresheet'!$Q101,"")</f>
        <v/>
      </c>
      <c r="H99" s="246" t="str">
        <f>IF(AND(C99&lt;&gt;"",E99&lt;&gt;"Full Refresher"),'G2 MT Reading Scoresheet'!$R101/6,"")</f>
        <v/>
      </c>
      <c r="I99" s="210" t="str">
        <f>IF(AND(D99&lt;&gt;"",F99&lt;&gt;"Full Refresher"),'G2 MT Reading Scoresheet'!$P101,"")</f>
        <v/>
      </c>
      <c r="J99" s="250" t="str">
        <f>'G2 MT Reading Scoresheet'!$U101</f>
        <v/>
      </c>
      <c r="K99" s="57" t="str">
        <f>'G2 FIL Reading Scoresheet'!$J101</f>
        <v/>
      </c>
      <c r="L99" s="248" t="str">
        <f>IF($C99&lt;&gt;"",'G2 FIL Reading Scoresheet'!$I101/30,"")</f>
        <v/>
      </c>
      <c r="M99" s="248" t="str">
        <f>IF(AND($C99&lt;&gt;"",$K99&lt;&gt;"Full Refresher"),'G2 FIL Reading Scoresheet'!$Q101,"")</f>
        <v/>
      </c>
      <c r="N99" s="248" t="str">
        <f>IF(AND($C99&lt;&gt;"",K99&lt;&gt;"Full Refresher"),'G2 FIL Reading Scoresheet'!$R101/6,"")</f>
        <v/>
      </c>
      <c r="O99" s="57" t="str">
        <f>IF(AND(C99&lt;&gt;"",K99&lt;&gt;"Full Refresher"),'G2 FIL Reading Scoresheet'!$P101,"")</f>
        <v/>
      </c>
      <c r="P99" s="251" t="str">
        <f>'G2 FIL Reading Scoresheet'!$U101</f>
        <v/>
      </c>
      <c r="Q99" s="52" t="str">
        <f>CONCATENATE(IF(ISBLANK('G2 MT Reading Scoresheet'!V101),"",CONCATENATE("MT:",TRIM('G2 MT Reading Scoresheet'!V101)))," ",IF(ISBLANK('G2 FIL Reading Scoresheet'!V101),"",CONCATENATE("FIL:",TRIM('G2 FIL Reading Scoresheet'!V101))))</f>
        <v xml:space="preserve"> </v>
      </c>
    </row>
    <row r="100" spans="1:17" x14ac:dyDescent="0.3">
      <c r="A100" s="44">
        <f t="shared" si="0"/>
        <v>92</v>
      </c>
      <c r="B100" s="45" t="str">
        <f>IF('G2 MT Reading Scoresheet'!B102&lt;&gt;"",'G2 MT Reading Scoresheet'!B102,"")</f>
        <v/>
      </c>
      <c r="C100" s="46" t="str">
        <f>IF('G2 MT Reading Scoresheet'!C102&lt;&gt;"",'G2 MT Reading Scoresheet'!C102,"")</f>
        <v/>
      </c>
      <c r="D100" s="47" t="str">
        <f>IF('G2 MT Reading Scoresheet'!D102&lt;&gt;"",'G2 MT Reading Scoresheet'!D102,"")</f>
        <v/>
      </c>
      <c r="E100" s="210" t="str">
        <f>'G2 MT Reading Scoresheet'!$J102</f>
        <v/>
      </c>
      <c r="F100" s="246" t="str">
        <f>IF(C100&lt;&gt;"",'G2 MT Reading Scoresheet'!$I102/30,"")</f>
        <v/>
      </c>
      <c r="G100" s="246" t="str">
        <f>IF(AND($C100&lt;&gt;"",$E100&lt;&gt;"Full Refresher"),'G2 MT Reading Scoresheet'!$Q102,"")</f>
        <v/>
      </c>
      <c r="H100" s="246" t="str">
        <f>IF(AND(C100&lt;&gt;"",E100&lt;&gt;"Full Refresher"),'G2 MT Reading Scoresheet'!$R102/6,"")</f>
        <v/>
      </c>
      <c r="I100" s="210" t="str">
        <f>IF(AND(D100&lt;&gt;"",F100&lt;&gt;"Full Refresher"),'G2 MT Reading Scoresheet'!$P102,"")</f>
        <v/>
      </c>
      <c r="J100" s="250" t="str">
        <f>'G2 MT Reading Scoresheet'!$U102</f>
        <v/>
      </c>
      <c r="K100" s="57" t="str">
        <f>'G2 FIL Reading Scoresheet'!$J102</f>
        <v/>
      </c>
      <c r="L100" s="248" t="str">
        <f>IF($C100&lt;&gt;"",'G2 FIL Reading Scoresheet'!$I102/30,"")</f>
        <v/>
      </c>
      <c r="M100" s="248" t="str">
        <f>IF(AND($C100&lt;&gt;"",$K100&lt;&gt;"Full Refresher"),'G2 FIL Reading Scoresheet'!$Q102,"")</f>
        <v/>
      </c>
      <c r="N100" s="248" t="str">
        <f>IF(AND($C100&lt;&gt;"",K100&lt;&gt;"Full Refresher"),'G2 FIL Reading Scoresheet'!$R102/6,"")</f>
        <v/>
      </c>
      <c r="O100" s="57" t="str">
        <f>IF(AND(C100&lt;&gt;"",K100&lt;&gt;"Full Refresher"),'G2 FIL Reading Scoresheet'!$P102,"")</f>
        <v/>
      </c>
      <c r="P100" s="251" t="str">
        <f>'G2 FIL Reading Scoresheet'!$U102</f>
        <v/>
      </c>
      <c r="Q100" s="48" t="str">
        <f>CONCATENATE(IF(ISBLANK('G2 MT Reading Scoresheet'!V102),"",CONCATENATE("MT:",TRIM('G2 MT Reading Scoresheet'!V102)))," ",IF(ISBLANK('G2 FIL Reading Scoresheet'!V102),"",CONCATENATE("FIL:",TRIM('G2 FIL Reading Scoresheet'!V102))))</f>
        <v xml:space="preserve"> </v>
      </c>
    </row>
    <row r="101" spans="1:17" x14ac:dyDescent="0.3">
      <c r="A101" s="43">
        <f t="shared" si="0"/>
        <v>93</v>
      </c>
      <c r="B101" s="49" t="str">
        <f>IF('G2 MT Reading Scoresheet'!B103&lt;&gt;"",'G2 MT Reading Scoresheet'!B103,"")</f>
        <v/>
      </c>
      <c r="C101" s="50" t="str">
        <f>IF('G2 MT Reading Scoresheet'!C103&lt;&gt;"",'G2 MT Reading Scoresheet'!C103,"")</f>
        <v/>
      </c>
      <c r="D101" s="51" t="str">
        <f>IF('G2 MT Reading Scoresheet'!D103&lt;&gt;"",'G2 MT Reading Scoresheet'!D103,"")</f>
        <v/>
      </c>
      <c r="E101" s="210" t="str">
        <f>'G2 MT Reading Scoresheet'!$J103</f>
        <v/>
      </c>
      <c r="F101" s="246" t="str">
        <f>IF(C101&lt;&gt;"",'G2 MT Reading Scoresheet'!$I103/30,"")</f>
        <v/>
      </c>
      <c r="G101" s="246" t="str">
        <f>IF(AND($C101&lt;&gt;"",$E101&lt;&gt;"Full Refresher"),'G2 MT Reading Scoresheet'!$Q103,"")</f>
        <v/>
      </c>
      <c r="H101" s="246" t="str">
        <f>IF(AND(C101&lt;&gt;"",E101&lt;&gt;"Full Refresher"),'G2 MT Reading Scoresheet'!$R103/6,"")</f>
        <v/>
      </c>
      <c r="I101" s="210" t="str">
        <f>IF(AND(D101&lt;&gt;"",F101&lt;&gt;"Full Refresher"),'G2 MT Reading Scoresheet'!$P103,"")</f>
        <v/>
      </c>
      <c r="J101" s="250" t="str">
        <f>'G2 MT Reading Scoresheet'!$U103</f>
        <v/>
      </c>
      <c r="K101" s="57" t="str">
        <f>'G2 FIL Reading Scoresheet'!$J103</f>
        <v/>
      </c>
      <c r="L101" s="248" t="str">
        <f>IF($C101&lt;&gt;"",'G2 FIL Reading Scoresheet'!$I103/30,"")</f>
        <v/>
      </c>
      <c r="M101" s="248" t="str">
        <f>IF(AND($C101&lt;&gt;"",$K101&lt;&gt;"Full Refresher"),'G2 FIL Reading Scoresheet'!$Q103,"")</f>
        <v/>
      </c>
      <c r="N101" s="248" t="str">
        <f>IF(AND($C101&lt;&gt;"",K101&lt;&gt;"Full Refresher"),'G2 FIL Reading Scoresheet'!$R103/6,"")</f>
        <v/>
      </c>
      <c r="O101" s="57" t="str">
        <f>IF(AND(C101&lt;&gt;"",K101&lt;&gt;"Full Refresher"),'G2 FIL Reading Scoresheet'!$P103,"")</f>
        <v/>
      </c>
      <c r="P101" s="251" t="str">
        <f>'G2 FIL Reading Scoresheet'!$U103</f>
        <v/>
      </c>
      <c r="Q101" s="52" t="str">
        <f>CONCATENATE(IF(ISBLANK('G2 MT Reading Scoresheet'!V103),"",CONCATENATE("MT:",TRIM('G2 MT Reading Scoresheet'!V103)))," ",IF(ISBLANK('G2 FIL Reading Scoresheet'!V103),"",CONCATENATE("FIL:",TRIM('G2 FIL Reading Scoresheet'!V103))))</f>
        <v xml:space="preserve"> </v>
      </c>
    </row>
    <row r="102" spans="1:17" x14ac:dyDescent="0.3">
      <c r="A102" s="44">
        <f t="shared" si="0"/>
        <v>94</v>
      </c>
      <c r="B102" s="45" t="str">
        <f>IF('G2 MT Reading Scoresheet'!B104&lt;&gt;"",'G2 MT Reading Scoresheet'!B104,"")</f>
        <v/>
      </c>
      <c r="C102" s="46" t="str">
        <f>IF('G2 MT Reading Scoresheet'!C104&lt;&gt;"",'G2 MT Reading Scoresheet'!C104,"")</f>
        <v/>
      </c>
      <c r="D102" s="47" t="str">
        <f>IF('G2 MT Reading Scoresheet'!D104&lt;&gt;"",'G2 MT Reading Scoresheet'!D104,"")</f>
        <v/>
      </c>
      <c r="E102" s="210" t="str">
        <f>'G2 MT Reading Scoresheet'!$J104</f>
        <v/>
      </c>
      <c r="F102" s="246" t="str">
        <f>IF(C102&lt;&gt;"",'G2 MT Reading Scoresheet'!$I104/30,"")</f>
        <v/>
      </c>
      <c r="G102" s="246" t="str">
        <f>IF(AND($C102&lt;&gt;"",$E102&lt;&gt;"Full Refresher"),'G2 MT Reading Scoresheet'!$Q104,"")</f>
        <v/>
      </c>
      <c r="H102" s="246" t="str">
        <f>IF(AND(C102&lt;&gt;"",E102&lt;&gt;"Full Refresher"),'G2 MT Reading Scoresheet'!$R104/6,"")</f>
        <v/>
      </c>
      <c r="I102" s="210" t="str">
        <f>IF(AND(D102&lt;&gt;"",F102&lt;&gt;"Full Refresher"),'G2 MT Reading Scoresheet'!$P104,"")</f>
        <v/>
      </c>
      <c r="J102" s="250" t="str">
        <f>'G2 MT Reading Scoresheet'!$U104</f>
        <v/>
      </c>
      <c r="K102" s="57" t="str">
        <f>'G2 FIL Reading Scoresheet'!$J104</f>
        <v/>
      </c>
      <c r="L102" s="248" t="str">
        <f>IF($C102&lt;&gt;"",'G2 FIL Reading Scoresheet'!$I104/30,"")</f>
        <v/>
      </c>
      <c r="M102" s="248" t="str">
        <f>IF(AND($C102&lt;&gt;"",$K102&lt;&gt;"Full Refresher"),'G2 FIL Reading Scoresheet'!$Q104,"")</f>
        <v/>
      </c>
      <c r="N102" s="248" t="str">
        <f>IF(AND($C102&lt;&gt;"",K102&lt;&gt;"Full Refresher"),'G2 FIL Reading Scoresheet'!$R104/6,"")</f>
        <v/>
      </c>
      <c r="O102" s="57" t="str">
        <f>IF(AND(C102&lt;&gt;"",K102&lt;&gt;"Full Refresher"),'G2 FIL Reading Scoresheet'!$P104,"")</f>
        <v/>
      </c>
      <c r="P102" s="251" t="str">
        <f>'G2 FIL Reading Scoresheet'!$U104</f>
        <v/>
      </c>
      <c r="Q102" s="48" t="str">
        <f>CONCATENATE(IF(ISBLANK('G2 MT Reading Scoresheet'!V104),"",CONCATENATE("MT:",TRIM('G2 MT Reading Scoresheet'!V104)))," ",IF(ISBLANK('G2 FIL Reading Scoresheet'!V104),"",CONCATENATE("FIL:",TRIM('G2 FIL Reading Scoresheet'!V104))))</f>
        <v xml:space="preserve"> </v>
      </c>
    </row>
    <row r="103" spans="1:17" x14ac:dyDescent="0.3">
      <c r="A103" s="43">
        <f t="shared" si="0"/>
        <v>95</v>
      </c>
      <c r="B103" s="49" t="str">
        <f>IF('G2 MT Reading Scoresheet'!B105&lt;&gt;"",'G2 MT Reading Scoresheet'!B105,"")</f>
        <v/>
      </c>
      <c r="C103" s="50" t="str">
        <f>IF('G2 MT Reading Scoresheet'!C105&lt;&gt;"",'G2 MT Reading Scoresheet'!C105,"")</f>
        <v/>
      </c>
      <c r="D103" s="51" t="str">
        <f>IF('G2 MT Reading Scoresheet'!D105&lt;&gt;"",'G2 MT Reading Scoresheet'!D105,"")</f>
        <v/>
      </c>
      <c r="E103" s="210" t="str">
        <f>'G2 MT Reading Scoresheet'!$J105</f>
        <v/>
      </c>
      <c r="F103" s="246" t="str">
        <f>IF(C103&lt;&gt;"",'G2 MT Reading Scoresheet'!$I105/30,"")</f>
        <v/>
      </c>
      <c r="G103" s="246" t="str">
        <f>IF(AND($C103&lt;&gt;"",$E103&lt;&gt;"Full Refresher"),'G2 MT Reading Scoresheet'!$Q105,"")</f>
        <v/>
      </c>
      <c r="H103" s="246" t="str">
        <f>IF(AND(C103&lt;&gt;"",E103&lt;&gt;"Full Refresher"),'G2 MT Reading Scoresheet'!$R105/6,"")</f>
        <v/>
      </c>
      <c r="I103" s="210" t="str">
        <f>IF(AND(D103&lt;&gt;"",F103&lt;&gt;"Full Refresher"),'G2 MT Reading Scoresheet'!$P105,"")</f>
        <v/>
      </c>
      <c r="J103" s="250" t="str">
        <f>'G2 MT Reading Scoresheet'!$U105</f>
        <v/>
      </c>
      <c r="K103" s="57" t="str">
        <f>'G2 FIL Reading Scoresheet'!$J105</f>
        <v/>
      </c>
      <c r="L103" s="248" t="str">
        <f>IF($C103&lt;&gt;"",'G2 FIL Reading Scoresheet'!$I105/30,"")</f>
        <v/>
      </c>
      <c r="M103" s="248" t="str">
        <f>IF(AND($C103&lt;&gt;"",$K103&lt;&gt;"Full Refresher"),'G2 FIL Reading Scoresheet'!$Q105,"")</f>
        <v/>
      </c>
      <c r="N103" s="248" t="str">
        <f>IF(AND($C103&lt;&gt;"",K103&lt;&gt;"Full Refresher"),'G2 FIL Reading Scoresheet'!$R105/6,"")</f>
        <v/>
      </c>
      <c r="O103" s="57" t="str">
        <f>IF(AND(C103&lt;&gt;"",K103&lt;&gt;"Full Refresher"),'G2 FIL Reading Scoresheet'!$P105,"")</f>
        <v/>
      </c>
      <c r="P103" s="251" t="str">
        <f>'G2 FIL Reading Scoresheet'!$U105</f>
        <v/>
      </c>
      <c r="Q103" s="52" t="str">
        <f>CONCATENATE(IF(ISBLANK('G2 MT Reading Scoresheet'!V105),"",CONCATENATE("MT:",TRIM('G2 MT Reading Scoresheet'!V105)))," ",IF(ISBLANK('G2 FIL Reading Scoresheet'!V105),"",CONCATENATE("FIL:",TRIM('G2 FIL Reading Scoresheet'!V105))))</f>
        <v xml:space="preserve"> </v>
      </c>
    </row>
    <row r="104" spans="1:17" x14ac:dyDescent="0.3">
      <c r="A104" s="44">
        <f t="shared" si="0"/>
        <v>96</v>
      </c>
      <c r="B104" s="45" t="str">
        <f>IF('G2 MT Reading Scoresheet'!B106&lt;&gt;"",'G2 MT Reading Scoresheet'!B106,"")</f>
        <v/>
      </c>
      <c r="C104" s="46" t="str">
        <f>IF('G2 MT Reading Scoresheet'!C106&lt;&gt;"",'G2 MT Reading Scoresheet'!C106,"")</f>
        <v/>
      </c>
      <c r="D104" s="47" t="str">
        <f>IF('G2 MT Reading Scoresheet'!D106&lt;&gt;"",'G2 MT Reading Scoresheet'!D106,"")</f>
        <v/>
      </c>
      <c r="E104" s="210" t="str">
        <f>'G2 MT Reading Scoresheet'!$J106</f>
        <v/>
      </c>
      <c r="F104" s="246" t="str">
        <f>IF(C104&lt;&gt;"",'G2 MT Reading Scoresheet'!$I106/30,"")</f>
        <v/>
      </c>
      <c r="G104" s="246" t="str">
        <f>IF(AND($C104&lt;&gt;"",$E104&lt;&gt;"Full Refresher"),'G2 MT Reading Scoresheet'!$Q106,"")</f>
        <v/>
      </c>
      <c r="H104" s="246" t="str">
        <f>IF(AND(C104&lt;&gt;"",E104&lt;&gt;"Full Refresher"),'G2 MT Reading Scoresheet'!$R106/6,"")</f>
        <v/>
      </c>
      <c r="I104" s="210" t="str">
        <f>IF(AND(D104&lt;&gt;"",F104&lt;&gt;"Full Refresher"),'G2 MT Reading Scoresheet'!$P106,"")</f>
        <v/>
      </c>
      <c r="J104" s="250" t="str">
        <f>'G2 MT Reading Scoresheet'!$U106</f>
        <v/>
      </c>
      <c r="K104" s="57" t="str">
        <f>'G2 FIL Reading Scoresheet'!$J106</f>
        <v/>
      </c>
      <c r="L104" s="248" t="str">
        <f>IF($C104&lt;&gt;"",'G2 FIL Reading Scoresheet'!$I106/30,"")</f>
        <v/>
      </c>
      <c r="M104" s="248" t="str">
        <f>IF(AND($C104&lt;&gt;"",$K104&lt;&gt;"Full Refresher"),'G2 FIL Reading Scoresheet'!$Q106,"")</f>
        <v/>
      </c>
      <c r="N104" s="248" t="str">
        <f>IF(AND($C104&lt;&gt;"",K104&lt;&gt;"Full Refresher"),'G2 FIL Reading Scoresheet'!$R106/6,"")</f>
        <v/>
      </c>
      <c r="O104" s="57" t="str">
        <f>IF(AND(C104&lt;&gt;"",K104&lt;&gt;"Full Refresher"),'G2 FIL Reading Scoresheet'!$P106,"")</f>
        <v/>
      </c>
      <c r="P104" s="251" t="str">
        <f>'G2 FIL Reading Scoresheet'!$U106</f>
        <v/>
      </c>
      <c r="Q104" s="48" t="str">
        <f>CONCATENATE(IF(ISBLANK('G2 MT Reading Scoresheet'!V106),"",CONCATENATE("MT:",TRIM('G2 MT Reading Scoresheet'!V106)))," ",IF(ISBLANK('G2 FIL Reading Scoresheet'!V106),"",CONCATENATE("FIL:",TRIM('G2 FIL Reading Scoresheet'!V106))))</f>
        <v xml:space="preserve"> </v>
      </c>
    </row>
    <row r="105" spans="1:17" x14ac:dyDescent="0.3">
      <c r="A105" s="43">
        <f t="shared" si="0"/>
        <v>97</v>
      </c>
      <c r="B105" s="49" t="str">
        <f>IF('G2 MT Reading Scoresheet'!B107&lt;&gt;"",'G2 MT Reading Scoresheet'!B107,"")</f>
        <v/>
      </c>
      <c r="C105" s="50" t="str">
        <f>IF('G2 MT Reading Scoresheet'!C107&lt;&gt;"",'G2 MT Reading Scoresheet'!C107,"")</f>
        <v/>
      </c>
      <c r="D105" s="51" t="str">
        <f>IF('G2 MT Reading Scoresheet'!D107&lt;&gt;"",'G2 MT Reading Scoresheet'!D107,"")</f>
        <v/>
      </c>
      <c r="E105" s="210" t="str">
        <f>'G2 MT Reading Scoresheet'!$J107</f>
        <v/>
      </c>
      <c r="F105" s="246" t="str">
        <f>IF(C105&lt;&gt;"",'G2 MT Reading Scoresheet'!$I107/30,"")</f>
        <v/>
      </c>
      <c r="G105" s="246" t="str">
        <f>IF(AND($C105&lt;&gt;"",$E105&lt;&gt;"Full Refresher"),'G2 MT Reading Scoresheet'!$Q107,"")</f>
        <v/>
      </c>
      <c r="H105" s="246" t="str">
        <f>IF(AND(C105&lt;&gt;"",E105&lt;&gt;"Full Refresher"),'G2 MT Reading Scoresheet'!$R107/6,"")</f>
        <v/>
      </c>
      <c r="I105" s="210" t="str">
        <f>IF(AND(D105&lt;&gt;"",F105&lt;&gt;"Full Refresher"),'G2 MT Reading Scoresheet'!$P107,"")</f>
        <v/>
      </c>
      <c r="J105" s="250" t="str">
        <f>'G2 MT Reading Scoresheet'!$U107</f>
        <v/>
      </c>
      <c r="K105" s="57" t="str">
        <f>'G2 FIL Reading Scoresheet'!$J107</f>
        <v/>
      </c>
      <c r="L105" s="248" t="str">
        <f>IF($C105&lt;&gt;"",'G2 FIL Reading Scoresheet'!$I107/30,"")</f>
        <v/>
      </c>
      <c r="M105" s="248" t="str">
        <f>IF(AND($C105&lt;&gt;"",$K105&lt;&gt;"Full Refresher"),'G2 FIL Reading Scoresheet'!$Q107,"")</f>
        <v/>
      </c>
      <c r="N105" s="248" t="str">
        <f>IF(AND($C105&lt;&gt;"",K105&lt;&gt;"Full Refresher"),'G2 FIL Reading Scoresheet'!$R107/6,"")</f>
        <v/>
      </c>
      <c r="O105" s="57" t="str">
        <f>IF(AND(C105&lt;&gt;"",K105&lt;&gt;"Full Refresher"),'G2 FIL Reading Scoresheet'!$P107,"")</f>
        <v/>
      </c>
      <c r="P105" s="251" t="str">
        <f>'G2 FIL Reading Scoresheet'!$U107</f>
        <v/>
      </c>
      <c r="Q105" s="52" t="str">
        <f>CONCATENATE(IF(ISBLANK('G2 MT Reading Scoresheet'!V107),"",CONCATENATE("MT:",TRIM('G2 MT Reading Scoresheet'!V107)))," ",IF(ISBLANK('G2 FIL Reading Scoresheet'!V107),"",CONCATENATE("FIL:",TRIM('G2 FIL Reading Scoresheet'!V107))))</f>
        <v xml:space="preserve"> </v>
      </c>
    </row>
    <row r="106" spans="1:17" x14ac:dyDescent="0.3">
      <c r="A106" s="44">
        <f t="shared" si="0"/>
        <v>98</v>
      </c>
      <c r="B106" s="45" t="str">
        <f>IF('G2 MT Reading Scoresheet'!B108&lt;&gt;"",'G2 MT Reading Scoresheet'!B108,"")</f>
        <v/>
      </c>
      <c r="C106" s="46" t="str">
        <f>IF('G2 MT Reading Scoresheet'!C108&lt;&gt;"",'G2 MT Reading Scoresheet'!C108,"")</f>
        <v/>
      </c>
      <c r="D106" s="47" t="str">
        <f>IF('G2 MT Reading Scoresheet'!D108&lt;&gt;"",'G2 MT Reading Scoresheet'!D108,"")</f>
        <v/>
      </c>
      <c r="E106" s="210" t="str">
        <f>'G2 MT Reading Scoresheet'!$J108</f>
        <v/>
      </c>
      <c r="F106" s="246" t="str">
        <f>IF(C106&lt;&gt;"",'G2 MT Reading Scoresheet'!$I108/30,"")</f>
        <v/>
      </c>
      <c r="G106" s="246" t="str">
        <f>IF(AND($C106&lt;&gt;"",$E106&lt;&gt;"Full Refresher"),'G2 MT Reading Scoresheet'!$Q108,"")</f>
        <v/>
      </c>
      <c r="H106" s="246" t="str">
        <f>IF(AND(C106&lt;&gt;"",E106&lt;&gt;"Full Refresher"),'G2 MT Reading Scoresheet'!$R108/6,"")</f>
        <v/>
      </c>
      <c r="I106" s="210" t="str">
        <f>IF(AND(D106&lt;&gt;"",F106&lt;&gt;"Full Refresher"),'G2 MT Reading Scoresheet'!$P108,"")</f>
        <v/>
      </c>
      <c r="J106" s="250" t="str">
        <f>'G2 MT Reading Scoresheet'!$U108</f>
        <v/>
      </c>
      <c r="K106" s="57" t="str">
        <f>'G2 FIL Reading Scoresheet'!$J108</f>
        <v/>
      </c>
      <c r="L106" s="248" t="str">
        <f>IF($C106&lt;&gt;"",'G2 FIL Reading Scoresheet'!$I108/30,"")</f>
        <v/>
      </c>
      <c r="M106" s="248" t="str">
        <f>IF(AND($C106&lt;&gt;"",$K106&lt;&gt;"Full Refresher"),'G2 FIL Reading Scoresheet'!$Q108,"")</f>
        <v/>
      </c>
      <c r="N106" s="248" t="str">
        <f>IF(AND($C106&lt;&gt;"",K106&lt;&gt;"Full Refresher"),'G2 FIL Reading Scoresheet'!$R108/6,"")</f>
        <v/>
      </c>
      <c r="O106" s="57" t="str">
        <f>IF(AND(C106&lt;&gt;"",K106&lt;&gt;"Full Refresher"),'G2 FIL Reading Scoresheet'!$P108,"")</f>
        <v/>
      </c>
      <c r="P106" s="251" t="str">
        <f>'G2 FIL Reading Scoresheet'!$U108</f>
        <v/>
      </c>
      <c r="Q106" s="48" t="str">
        <f>CONCATENATE(IF(ISBLANK('G2 MT Reading Scoresheet'!V108),"",CONCATENATE("MT:",TRIM('G2 MT Reading Scoresheet'!V108)))," ",IF(ISBLANK('G2 FIL Reading Scoresheet'!V108),"",CONCATENATE("FIL:",TRIM('G2 FIL Reading Scoresheet'!V108))))</f>
        <v xml:space="preserve"> </v>
      </c>
    </row>
    <row r="107" spans="1:17" x14ac:dyDescent="0.3">
      <c r="A107" s="43">
        <f t="shared" si="0"/>
        <v>99</v>
      </c>
      <c r="B107" s="49" t="str">
        <f>IF('G2 MT Reading Scoresheet'!B109&lt;&gt;"",'G2 MT Reading Scoresheet'!B109,"")</f>
        <v/>
      </c>
      <c r="C107" s="50" t="str">
        <f>IF('G2 MT Reading Scoresheet'!C109&lt;&gt;"",'G2 MT Reading Scoresheet'!C109,"")</f>
        <v/>
      </c>
      <c r="D107" s="51" t="str">
        <f>IF('G2 MT Reading Scoresheet'!D109&lt;&gt;"",'G2 MT Reading Scoresheet'!D109,"")</f>
        <v/>
      </c>
      <c r="E107" s="210" t="str">
        <f>'G2 MT Reading Scoresheet'!$J109</f>
        <v/>
      </c>
      <c r="F107" s="246" t="str">
        <f>IF(C107&lt;&gt;"",'G2 MT Reading Scoresheet'!$I109/30,"")</f>
        <v/>
      </c>
      <c r="G107" s="246" t="str">
        <f>IF(AND($C107&lt;&gt;"",$E107&lt;&gt;"Full Refresher"),'G2 MT Reading Scoresheet'!$Q109,"")</f>
        <v/>
      </c>
      <c r="H107" s="246" t="str">
        <f>IF(AND(C107&lt;&gt;"",E107&lt;&gt;"Full Refresher"),'G2 MT Reading Scoresheet'!$R109/6,"")</f>
        <v/>
      </c>
      <c r="I107" s="210" t="str">
        <f>IF(AND(D107&lt;&gt;"",F107&lt;&gt;"Full Refresher"),'G2 MT Reading Scoresheet'!$P109,"")</f>
        <v/>
      </c>
      <c r="J107" s="250" t="str">
        <f>'G2 MT Reading Scoresheet'!$U109</f>
        <v/>
      </c>
      <c r="K107" s="57" t="str">
        <f>'G2 FIL Reading Scoresheet'!$J109</f>
        <v/>
      </c>
      <c r="L107" s="248" t="str">
        <f>IF($C107&lt;&gt;"",'G2 FIL Reading Scoresheet'!$I109/30,"")</f>
        <v/>
      </c>
      <c r="M107" s="248" t="str">
        <f>IF(AND($C107&lt;&gt;"",$K107&lt;&gt;"Full Refresher"),'G2 FIL Reading Scoresheet'!$Q109,"")</f>
        <v/>
      </c>
      <c r="N107" s="248" t="str">
        <f>IF(AND($C107&lt;&gt;"",K107&lt;&gt;"Full Refresher"),'G2 FIL Reading Scoresheet'!$R109/6,"")</f>
        <v/>
      </c>
      <c r="O107" s="57" t="str">
        <f>IF(AND(C107&lt;&gt;"",K107&lt;&gt;"Full Refresher"),'G2 FIL Reading Scoresheet'!$P109,"")</f>
        <v/>
      </c>
      <c r="P107" s="251" t="str">
        <f>'G2 FIL Reading Scoresheet'!$U109</f>
        <v/>
      </c>
      <c r="Q107" s="52" t="str">
        <f>CONCATENATE(IF(ISBLANK('G2 MT Reading Scoresheet'!V109),"",CONCATENATE("MT:",TRIM('G2 MT Reading Scoresheet'!V109)))," ",IF(ISBLANK('G2 FIL Reading Scoresheet'!V109),"",CONCATENATE("FIL:",TRIM('G2 FIL Reading Scoresheet'!V109))))</f>
        <v xml:space="preserve"> </v>
      </c>
    </row>
    <row r="108" spans="1:17" ht="15" thickBot="1" x14ac:dyDescent="0.35">
      <c r="A108" s="252">
        <v>100</v>
      </c>
      <c r="B108" s="253" t="str">
        <f>IF('G2 MT Reading Scoresheet'!B110&lt;&gt;"",'G2 MT Reading Scoresheet'!B110,"")</f>
        <v/>
      </c>
      <c r="C108" s="53" t="str">
        <f>IF('G2 MT Reading Scoresheet'!C110&lt;&gt;"",'G2 MT Reading Scoresheet'!C110,"")</f>
        <v/>
      </c>
      <c r="D108" s="54" t="str">
        <f>IF('G2 MT Reading Scoresheet'!D110&lt;&gt;"",'G2 MT Reading Scoresheet'!D110,"")</f>
        <v/>
      </c>
      <c r="E108" s="211" t="str">
        <f>'G2 MT Reading Scoresheet'!$J110</f>
        <v/>
      </c>
      <c r="F108" s="254" t="str">
        <f>IF(C108&lt;&gt;"",'G2 MT Reading Scoresheet'!$I$11/30,"")</f>
        <v/>
      </c>
      <c r="G108" s="254" t="str">
        <f>IF(AND($C108&lt;&gt;"",$E108&lt;&gt;"Full Refresher"),'G2 MT Reading Scoresheet'!$Q110,"")</f>
        <v/>
      </c>
      <c r="H108" s="254" t="str">
        <f>IF(AND(C108&lt;&gt;"",E108&lt;&gt;"Full Refresher"),'G2 MT Reading Scoresheet'!$R110/6,"")</f>
        <v/>
      </c>
      <c r="I108" s="211" t="str">
        <f>IF(AND(D108&lt;&gt;"",F108&lt;&gt;"Full Refresher"),'G2 MT Reading Scoresheet'!$P110,"")</f>
        <v/>
      </c>
      <c r="J108" s="255" t="str">
        <f>'G2 MT Reading Scoresheet'!$U110</f>
        <v/>
      </c>
      <c r="K108" s="58" t="str">
        <f>'G2 FIL Reading Scoresheet'!$J110</f>
        <v/>
      </c>
      <c r="L108" s="256" t="str">
        <f>IF($C108&lt;&gt;"",'G2 FIL Reading Scoresheet'!$I110/30,"")</f>
        <v/>
      </c>
      <c r="M108" s="256" t="str">
        <f>IF(AND($C108&lt;&gt;"",$K108&lt;&gt;"Full Refresher"),'G2 FIL Reading Scoresheet'!$Q110,"")</f>
        <v/>
      </c>
      <c r="N108" s="256" t="str">
        <f>IF(AND($C108&lt;&gt;"",K108&lt;&gt;"Full Refresher"),'G2 FIL Reading Scoresheet'!$R110/6,"")</f>
        <v/>
      </c>
      <c r="O108" s="58" t="str">
        <f>IF(AND(C108&lt;&gt;"",K108&lt;&gt;"Full Refresher"),'G2 FIL Reading Scoresheet'!$P110,"")</f>
        <v/>
      </c>
      <c r="P108" s="257" t="str">
        <f>'G2 FIL Reading Scoresheet'!$U110</f>
        <v/>
      </c>
      <c r="Q108" s="55" t="str">
        <f>CONCATENATE(IF(ISBLANK('G2 MT Reading Scoresheet'!V110),"",CONCATENATE("MT:",TRIM('G2 MT Reading Scoresheet'!V110)))," ",IF(ISBLANK('G2 FIL Reading Scoresheet'!V110),"",CONCATENATE("FIL:",TRIM('G2 FIL Reading Scoresheet'!V110))))</f>
        <v xml:space="preserve"> </v>
      </c>
    </row>
  </sheetData>
  <sheetProtection algorithmName="SHA-512" hashValue="H1w9GbDUjVSKRUUsGwDvTkeH8MER8q7URgJRQnOAF9035UrfkczKBf7LmjCC7IOf7BcE8rW+VInsLxxcUves0g==" saltValue="SS3JuW7tMC8SfVEZuI8FIg==" spinCount="100000" sheet="1" objects="1" scenarios="1" selectLockedCells="1" autoFilter="0"/>
  <autoFilter ref="A8:R8" xr:uid="{BC4E4CB5-DA0A-44B9-A550-F7D0779519F7}"/>
  <mergeCells count="15">
    <mergeCell ref="M7:O7"/>
    <mergeCell ref="K6:P6"/>
    <mergeCell ref="Q6:Q8"/>
    <mergeCell ref="A5:B5"/>
    <mergeCell ref="A6:B6"/>
    <mergeCell ref="A7:B7"/>
    <mergeCell ref="C5:D5"/>
    <mergeCell ref="C6:D6"/>
    <mergeCell ref="E6:J6"/>
    <mergeCell ref="E5:Q5"/>
    <mergeCell ref="C7:D7"/>
    <mergeCell ref="E7:F7"/>
    <mergeCell ref="J7:J8"/>
    <mergeCell ref="K7:L7"/>
    <mergeCell ref="G7:I7"/>
  </mergeCells>
  <conditionalFormatting sqref="C5">
    <cfRule type="containsText" dxfId="7" priority="7" operator="containsText" text="[enter school school id here]">
      <formula>NOT(ISERROR(SEARCH("[enter school school id here]",C5)))</formula>
    </cfRule>
  </conditionalFormatting>
  <conditionalFormatting sqref="C6">
    <cfRule type="containsText" dxfId="6" priority="8" operator="containsText" text="[enter teacher name here]">
      <formula>NOT(ISERROR(SEARCH("[enter teacher name here]",C6)))</formula>
    </cfRule>
  </conditionalFormatting>
  <conditionalFormatting sqref="E9:E109">
    <cfRule type="containsText" dxfId="5" priority="6" operator="containsText" text="Full">
      <formula>NOT(ISERROR(SEARCH("Full",E9)))</formula>
    </cfRule>
  </conditionalFormatting>
  <conditionalFormatting sqref="J9:J107">
    <cfRule type="containsText" dxfId="4" priority="5" operator="containsText" text="Low">
      <formula>NOT(ISERROR(SEARCH("Low",J9)))</formula>
    </cfRule>
  </conditionalFormatting>
  <conditionalFormatting sqref="J9:J108">
    <cfRule type="containsText" dxfId="3" priority="4" operator="containsText" text="High">
      <formula>NOT(ISERROR(SEARCH("High",J9)))</formula>
    </cfRule>
  </conditionalFormatting>
  <conditionalFormatting sqref="K9:K108">
    <cfRule type="containsText" dxfId="2" priority="3" operator="containsText" text="Full">
      <formula>NOT(ISERROR(SEARCH("Full",K9)))</formula>
    </cfRule>
  </conditionalFormatting>
  <conditionalFormatting sqref="P9:P108">
    <cfRule type="containsText" dxfId="1" priority="1" operator="containsText" text="High">
      <formula>NOT(ISERROR(SEARCH("High",P9)))</formula>
    </cfRule>
    <cfRule type="containsText" dxfId="0" priority="2" operator="containsText" text="Low">
      <formula>NOT(ISERROR(SEARCH("Low",P9)))</formula>
    </cfRule>
  </conditionalFormatting>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19565-2417-4E71-A27E-F892CDC9EB34}">
  <sheetPr codeName="Sheet3"/>
  <dimension ref="A1:U107"/>
  <sheetViews>
    <sheetView zoomScale="96" zoomScaleNormal="96" workbookViewId="0">
      <selection activeCell="A8" sqref="A8:S11"/>
    </sheetView>
  </sheetViews>
  <sheetFormatPr defaultColWidth="0" defaultRowHeight="14.4" x14ac:dyDescent="0.3"/>
  <cols>
    <col min="1" max="1" width="12.33203125" customWidth="1"/>
    <col min="2" max="2" width="15.33203125" customWidth="1"/>
    <col min="3" max="3" width="17.109375" customWidth="1"/>
    <col min="4" max="4" width="13.6640625" customWidth="1"/>
    <col min="5" max="5" width="10" customWidth="1"/>
    <col min="6" max="6" width="9.88671875" customWidth="1"/>
    <col min="7" max="7" width="10.44140625" customWidth="1"/>
    <col min="8" max="8" width="10.33203125" customWidth="1"/>
    <col min="9" max="9" width="12.88671875" customWidth="1"/>
    <col min="10" max="10" width="11.109375" customWidth="1"/>
    <col min="11" max="12" width="9.6640625" customWidth="1"/>
    <col min="13" max="13" width="11.6640625" customWidth="1"/>
    <col min="14" max="14" width="10.44140625" customWidth="1"/>
    <col min="15" max="17" width="9.6640625" customWidth="1"/>
    <col min="18" max="18" width="11.33203125" customWidth="1"/>
    <col min="19" max="19" width="10.6640625" customWidth="1"/>
    <col min="20" max="20" width="8.88671875" customWidth="1"/>
    <col min="21" max="21" width="0" hidden="1" customWidth="1"/>
    <col min="22" max="16384" width="8.88671875" hidden="1"/>
  </cols>
  <sheetData>
    <row r="1" spans="1:19" x14ac:dyDescent="0.3">
      <c r="A1" t="s">
        <v>154</v>
      </c>
    </row>
    <row r="2" spans="1:19" ht="15.6" x14ac:dyDescent="0.3">
      <c r="A2" s="357" t="s">
        <v>110</v>
      </c>
      <c r="B2" s="357"/>
      <c r="C2" s="357"/>
      <c r="D2" s="357"/>
      <c r="E2" s="357"/>
      <c r="F2" s="357"/>
    </row>
    <row r="4" spans="1:19" x14ac:dyDescent="0.3">
      <c r="A4" s="354" t="s">
        <v>28</v>
      </c>
      <c r="B4" s="354"/>
      <c r="C4" s="3">
        <f>'G2 MT Reading Scoresheet'!C4</f>
        <v>107136</v>
      </c>
    </row>
    <row r="5" spans="1:19" ht="15" thickBot="1" x14ac:dyDescent="0.35">
      <c r="A5" s="355" t="s">
        <v>29</v>
      </c>
      <c r="B5" s="355"/>
      <c r="C5" s="356" t="str">
        <f>'G2 MT Reading Scoresheet'!C5</f>
        <v>NELLIE E. BROWN E/S</v>
      </c>
      <c r="D5" s="356"/>
      <c r="E5" s="356"/>
    </row>
    <row r="6" spans="1:19" ht="14.4" customHeight="1" x14ac:dyDescent="0.3">
      <c r="A6" s="361" t="s">
        <v>21</v>
      </c>
      <c r="B6" s="244"/>
      <c r="C6" s="244"/>
      <c r="D6" s="371" t="s">
        <v>22</v>
      </c>
      <c r="E6" s="371" t="s">
        <v>31</v>
      </c>
      <c r="F6" s="373" t="s">
        <v>23</v>
      </c>
      <c r="G6" s="375" t="s">
        <v>30</v>
      </c>
      <c r="H6" s="370" t="s">
        <v>179</v>
      </c>
      <c r="I6" s="370"/>
      <c r="J6" s="370"/>
      <c r="K6" s="370"/>
      <c r="L6" s="370" t="s">
        <v>184</v>
      </c>
      <c r="M6" s="370"/>
      <c r="N6" s="370"/>
      <c r="O6" s="215"/>
      <c r="P6" s="215"/>
      <c r="Q6" s="369" t="s">
        <v>103</v>
      </c>
      <c r="R6" s="369"/>
      <c r="S6" s="369"/>
    </row>
    <row r="7" spans="1:19" ht="36" x14ac:dyDescent="0.3">
      <c r="A7" s="362"/>
      <c r="B7" s="245" t="s">
        <v>19</v>
      </c>
      <c r="C7" s="245" t="s">
        <v>27</v>
      </c>
      <c r="D7" s="372"/>
      <c r="E7" s="372"/>
      <c r="F7" s="374"/>
      <c r="G7" s="376"/>
      <c r="H7" s="193" t="s">
        <v>24</v>
      </c>
      <c r="I7" s="193" t="s">
        <v>33</v>
      </c>
      <c r="J7" s="193" t="s">
        <v>25</v>
      </c>
      <c r="K7" s="193" t="s">
        <v>26</v>
      </c>
      <c r="L7" s="193" t="s">
        <v>181</v>
      </c>
      <c r="M7" s="193" t="s">
        <v>182</v>
      </c>
      <c r="N7" s="193" t="s">
        <v>183</v>
      </c>
      <c r="O7" s="216" t="s">
        <v>158</v>
      </c>
      <c r="P7" s="216" t="s">
        <v>159</v>
      </c>
      <c r="Q7" s="216" t="s">
        <v>162</v>
      </c>
      <c r="R7" s="216" t="s">
        <v>164</v>
      </c>
      <c r="S7" s="216" t="s">
        <v>166</v>
      </c>
    </row>
    <row r="8" spans="1:19" ht="25.2" customHeight="1" x14ac:dyDescent="0.3">
      <c r="A8" s="176" t="s">
        <v>102</v>
      </c>
      <c r="B8" s="177" t="str">
        <f>IF('G2 MT Reading Scoresheet'!$C$8&lt;&gt;"",'G2 MT Reading Scoresheet'!$C$8,"")</f>
        <v>WISDOM</v>
      </c>
      <c r="C8" s="177" t="str">
        <f>IF('G2 MT Reading Scoresheet'!$C$6&lt;&gt;"",'G2 MT Reading Scoresheet'!$C$6," ")</f>
        <v xml:space="preserve"> </v>
      </c>
      <c r="D8" s="177" t="str">
        <f>IF('G2 MT Reading Scoresheet'!C9 &lt;&gt;"",'G2 MT Reading Scoresheet'!C9,"")</f>
        <v>Tagalog</v>
      </c>
      <c r="E8" s="178" t="s">
        <v>81</v>
      </c>
      <c r="F8" s="179">
        <f>'G2 MT Reading Scoresheet'!D6</f>
        <v>13</v>
      </c>
      <c r="G8" s="180">
        <f>COUNTIF('G2 MT Reading Scoresheet'!$D$11:$D$110,$E8)</f>
        <v>13</v>
      </c>
      <c r="H8" s="180">
        <f>COUNTIFS('Class Record'!$E$9:$E$108,H$7,'Class Record'!$D$9:$D$108,$E8)</f>
        <v>6</v>
      </c>
      <c r="I8" s="180">
        <f>COUNTIFS('Class Record'!$E$9:$E$108,I$7,'Class Record'!$D$9:$D$108,$E8)</f>
        <v>0</v>
      </c>
      <c r="J8" s="180">
        <f>COUNTIFS('Class Record'!$E$9:$E$108,J$7,'Class Record'!$D$9:$D$108,$E8)</f>
        <v>1</v>
      </c>
      <c r="K8" s="180">
        <f>COUNTIFS('Class Record'!$E$9:$E$108,K$7,'Class Record'!$D$9:$D$108,$E8)</f>
        <v>6</v>
      </c>
      <c r="L8" s="259">
        <f>IFERROR(AVERAGEIFS('Class Record'!G$9:G$108,'Class Record'!$D$9:$D$108,$E8),"")</f>
        <v>0.94887218045112776</v>
      </c>
      <c r="M8" s="259">
        <f>IFERROR(AVERAGEIFS('Class Record'!H$9:H$108,'Class Record'!$D$9:$D$108,$E8),"")</f>
        <v>0.30952380952380948</v>
      </c>
      <c r="N8" s="260">
        <f>IFERROR(AVERAGEIFS('Class Record'!I$9:I$108,'Class Record'!$D$9:$D$108,$E8),"")</f>
        <v>45.071428571428569</v>
      </c>
      <c r="O8" s="181">
        <f>COUNTIFS('Class Record'!$J$9:$J$108,O$7,'Class Record'!$D$9:$D$108,$E8)</f>
        <v>6</v>
      </c>
      <c r="P8" s="181">
        <f>COUNTIFS('Class Record'!$J$9:$J$108,P$7,'Class Record'!$D$9:$D$108,$E8)</f>
        <v>0</v>
      </c>
      <c r="Q8" s="181">
        <f>COUNTIFS('Class Record'!$J$9:$J$108,Q$7,'Class Record'!$D$9:$D$108,$E8)</f>
        <v>0</v>
      </c>
      <c r="R8" s="181">
        <f>COUNTIFS('Class Record'!$J$9:$J$108,R$7,'Class Record'!$D$9:$D$108,$E8)</f>
        <v>7</v>
      </c>
      <c r="S8" s="181">
        <f>COUNTIFS('Class Record'!$J$9:$J$108,S$7,'Class Record'!$D$9:$D$108,$E8)</f>
        <v>0</v>
      </c>
    </row>
    <row r="9" spans="1:19" ht="25.2" customHeight="1" x14ac:dyDescent="0.3">
      <c r="A9" s="176" t="str">
        <f>A8</f>
        <v>Grade 2</v>
      </c>
      <c r="B9" s="177" t="str">
        <f t="shared" ref="B9:D9" si="0">B8</f>
        <v>WISDOM</v>
      </c>
      <c r="C9" s="177" t="str">
        <f>C8</f>
        <v xml:space="preserve"> </v>
      </c>
      <c r="D9" s="177" t="str">
        <f t="shared" si="0"/>
        <v>Tagalog</v>
      </c>
      <c r="E9" s="178" t="s">
        <v>82</v>
      </c>
      <c r="F9" s="179">
        <f>'G2 MT Reading Scoresheet'!E6</f>
        <v>11</v>
      </c>
      <c r="G9" s="182">
        <f>COUNTIF('G2 MT Reading Scoresheet'!$D$11:$D$110,E9)</f>
        <v>11</v>
      </c>
      <c r="H9" s="180">
        <f>COUNTIFS('Class Record'!$E$9:$E$108,H$7,'Class Record'!$D$9:$D$108,$E9)</f>
        <v>5</v>
      </c>
      <c r="I9" s="180">
        <f>COUNTIFS('Class Record'!$E$9:$E$108,I$7,'Class Record'!$D$9:$D$108,$E9)</f>
        <v>0</v>
      </c>
      <c r="J9" s="180">
        <f>COUNTIFS('Class Record'!$E$9:$E$108,J$7,'Class Record'!$D$9:$D$108,$E9)</f>
        <v>0</v>
      </c>
      <c r="K9" s="180">
        <f>COUNTIFS('Class Record'!$E$9:$E$108,K$7,'Class Record'!$D$9:$D$108,$E9)</f>
        <v>6</v>
      </c>
      <c r="L9" s="259">
        <f>IFERROR(AVERAGEIFS('Class Record'!G$9:G$108,'Class Record'!$D$9:$D$108,$E9),"")</f>
        <v>1</v>
      </c>
      <c r="M9" s="259">
        <f>IFERROR(AVERAGEIFS('Class Record'!H$9:H$108,'Class Record'!$D$9:$D$108,$E9),"")</f>
        <v>0.55555555555555547</v>
      </c>
      <c r="N9" s="260">
        <f>IFERROR(AVERAGEIFS('Class Record'!I$9:I$108,'Class Record'!$D$9:$D$108,$E9),"")</f>
        <v>47.566526610644253</v>
      </c>
      <c r="O9" s="181">
        <f>COUNTIFS('Class Record'!$J$9:$J$108,O$7,'Class Record'!$D$9:$D$108,$E9)</f>
        <v>5</v>
      </c>
      <c r="P9" s="181">
        <f>COUNTIFS('Class Record'!$J$9:$J$108,P$7,'Class Record'!$D$9:$D$108,$E9)</f>
        <v>0</v>
      </c>
      <c r="Q9" s="181">
        <f>COUNTIFS('Class Record'!$J$9:$J$108,Q$7,'Class Record'!$D$9:$D$108,$E9)</f>
        <v>0</v>
      </c>
      <c r="R9" s="181">
        <f>COUNTIFS('Class Record'!$J$9:$J$108,R$7,'Class Record'!$D$9:$D$108,$E9)</f>
        <v>5</v>
      </c>
      <c r="S9" s="181">
        <f>COUNTIFS('Class Record'!$J$9:$J$108,S$7,'Class Record'!$D$9:$D$108,$E9)</f>
        <v>1</v>
      </c>
    </row>
    <row r="10" spans="1:19" ht="25.2" customHeight="1" x14ac:dyDescent="0.3">
      <c r="A10" s="176" t="str">
        <f>A9</f>
        <v>Grade 2</v>
      </c>
      <c r="B10" s="177" t="str">
        <f>B9</f>
        <v>WISDOM</v>
      </c>
      <c r="C10" s="177" t="str">
        <f>C9</f>
        <v xml:space="preserve"> </v>
      </c>
      <c r="D10" s="177" t="s">
        <v>109</v>
      </c>
      <c r="E10" s="178" t="s">
        <v>81</v>
      </c>
      <c r="F10" s="179">
        <f>'G2 FIL Reading Scoresheet'!$D$6</f>
        <v>13</v>
      </c>
      <c r="G10" s="180">
        <f>COUNTIF('G2 FIL Reading Scoresheet'!$D$11:$D$110,$E10)</f>
        <v>13</v>
      </c>
      <c r="H10" s="180">
        <f>COUNTIFS('Class Record'!$K$9:$K$108,H$7,'Class Record'!$D$9:$D$108,$E10)</f>
        <v>6</v>
      </c>
      <c r="I10" s="180">
        <f>COUNTIFS('Class Record'!$K$9:$K$108,I$7,'Class Record'!$D$9:$D$108,$E10)</f>
        <v>0</v>
      </c>
      <c r="J10" s="180">
        <f>COUNTIFS('Class Record'!$K$9:$K$108,J$7,'Class Record'!$D$9:$D$108,$E10)</f>
        <v>1</v>
      </c>
      <c r="K10" s="180">
        <f>COUNTIFS('Class Record'!$K$9:$K$108,K$7,'Class Record'!$D$9:$D$108,$E10)</f>
        <v>6</v>
      </c>
      <c r="L10" s="259">
        <f>IFERROR(AVERAGEIFS('Class Record'!M$9:M$108,'Class Record'!$D$9:$D$108,$E10),"")</f>
        <v>0.94887218045112776</v>
      </c>
      <c r="M10" s="259">
        <f>IFERROR(AVERAGEIFS('Class Record'!N$9:N$108,'Class Record'!$D$9:$D$108,$E10),"")</f>
        <v>0.30952380952380948</v>
      </c>
      <c r="N10" s="260">
        <f>IFERROR(AVERAGEIFS('Class Record'!O$9:O$108,'Class Record'!$D$9:$D$108,$E10),"")</f>
        <v>45.071428571428569</v>
      </c>
      <c r="O10" s="181">
        <f>COUNTIFS('Class Record'!$P$9:$P$108,O$7,'Class Record'!$D$9:$D$108,$E10)</f>
        <v>6</v>
      </c>
      <c r="P10" s="181">
        <f>COUNTIFS('Class Record'!$P$9:$P$108,P$7,'Class Record'!$D$9:$D$108,$E10)</f>
        <v>0</v>
      </c>
      <c r="Q10" s="181">
        <f>COUNTIFS('Class Record'!$P$9:$P$108,Q$7,'Class Record'!$D$9:$D$108,$E10)</f>
        <v>0</v>
      </c>
      <c r="R10" s="181">
        <f>COUNTIFS('Class Record'!$P$9:$P$108,R$7,'Class Record'!$D$9:$D$108,$E10)</f>
        <v>7</v>
      </c>
      <c r="S10" s="181">
        <f>COUNTIFS('Class Record'!$P$9:$P$108,S$7,'Class Record'!$D$9:$D$108,$E10)</f>
        <v>0</v>
      </c>
    </row>
    <row r="11" spans="1:19" ht="25.2" customHeight="1" thickBot="1" x14ac:dyDescent="0.35">
      <c r="A11" s="183" t="str">
        <f>A10</f>
        <v>Grade 2</v>
      </c>
      <c r="B11" s="184" t="str">
        <f t="shared" ref="B11:D11" si="1">B10</f>
        <v>WISDOM</v>
      </c>
      <c r="C11" s="184" t="str">
        <f t="shared" si="1"/>
        <v xml:space="preserve"> </v>
      </c>
      <c r="D11" s="184" t="str">
        <f t="shared" si="1"/>
        <v>Filipino</v>
      </c>
      <c r="E11" s="185" t="s">
        <v>82</v>
      </c>
      <c r="F11" s="186">
        <f>'G2 FIL Reading Scoresheet'!$E$6</f>
        <v>11</v>
      </c>
      <c r="G11" s="187">
        <f>COUNTIF('G2 FIL Reading Scoresheet'!$D$11:$D$110,$E11)</f>
        <v>11</v>
      </c>
      <c r="H11" s="188">
        <f>COUNTIFS('Class Record'!$K$9:$K$108,H$7,'Class Record'!$D$9:$D$108,$E11)</f>
        <v>5</v>
      </c>
      <c r="I11" s="188">
        <f>COUNTIFS('Class Record'!$K$9:$K$108,I$7,'Class Record'!$D$9:$D$108,$E11)</f>
        <v>0</v>
      </c>
      <c r="J11" s="188">
        <f>COUNTIFS('Class Record'!$K$9:$K$108,J$7,'Class Record'!$D$9:$D$108,$E11)</f>
        <v>0</v>
      </c>
      <c r="K11" s="188">
        <f>COUNTIFS('Class Record'!$K$9:$K$108,K$7,'Class Record'!$D$9:$D$108,$E11)</f>
        <v>6</v>
      </c>
      <c r="L11" s="223">
        <f>IFERROR(AVERAGEIFS('G2 FIL Reading Scoresheet'!$Q$11:$Q$110,'G2 FIL Reading Scoresheet'!$D$11:$D$110,$E11),"")</f>
        <v>1</v>
      </c>
      <c r="M11" s="223" t="str">
        <f>IFERROR(AVERAGEIFS('G2 FIL Reading Scoresheet'!$Y$11:$Y$110,'G2 MT Reading Scoresheet'!$D$11:$D$110,$E11),"")</f>
        <v/>
      </c>
      <c r="N11" s="220">
        <f>IFERROR(AVERAGEIFS('G2 FIL Reading Scoresheet'!$P$11:$P$110,'G2 FIL Reading Scoresheet'!$D$11:$D$110,$E11),"")</f>
        <v>47.566526610644253</v>
      </c>
      <c r="O11" s="189">
        <f>COUNTIFS('Class Record'!$P$9:$P$108,O$7,'Class Record'!$D$9:$D$108,$E11)</f>
        <v>5</v>
      </c>
      <c r="P11" s="189">
        <f>COUNTIFS('Class Record'!$P$9:$P$108,P$7,'Class Record'!$D$9:$D$108,$E11)</f>
        <v>0</v>
      </c>
      <c r="Q11" s="189">
        <f>COUNTIFS('Class Record'!$P$9:$P$108,Q$7,'Class Record'!$D$9:$D$108,$E11)</f>
        <v>0</v>
      </c>
      <c r="R11" s="189">
        <f>COUNTIFS('Class Record'!$P$9:$P$108,R$7,'Class Record'!$D$9:$D$108,$E11)</f>
        <v>5</v>
      </c>
      <c r="S11" s="189">
        <f>COUNTIFS('Class Record'!$P$9:$P$108,S$7,'Class Record'!$D$9:$D$108,$E11)</f>
        <v>1</v>
      </c>
    </row>
    <row r="12" spans="1:19" ht="21" customHeight="1" thickBot="1" x14ac:dyDescent="0.35">
      <c r="A12" s="158"/>
      <c r="B12" s="158"/>
      <c r="C12" s="158"/>
      <c r="D12" s="158"/>
      <c r="E12" s="159"/>
      <c r="F12" s="160"/>
      <c r="G12" s="161"/>
      <c r="H12" s="157"/>
      <c r="I12" s="157"/>
      <c r="J12" s="157"/>
      <c r="K12" s="157"/>
      <c r="L12" s="218"/>
      <c r="M12" s="157"/>
      <c r="N12" s="157"/>
      <c r="O12" s="157"/>
      <c r="P12" s="157"/>
      <c r="Q12" s="157"/>
      <c r="R12" s="157"/>
      <c r="S12" s="157"/>
    </row>
    <row r="13" spans="1:19" ht="25.2" customHeight="1" x14ac:dyDescent="0.3">
      <c r="A13" s="162" t="str">
        <f>A9</f>
        <v>Grade 2</v>
      </c>
      <c r="B13" s="163" t="str">
        <f t="shared" ref="B13:B14" si="2">B9</f>
        <v>WISDOM</v>
      </c>
      <c r="C13" s="163" t="str">
        <f t="shared" ref="C13:C14" si="3">C9</f>
        <v xml:space="preserve"> </v>
      </c>
      <c r="D13" s="163" t="str">
        <f t="shared" ref="D13:D14" si="4">D9</f>
        <v>Tagalog</v>
      </c>
      <c r="E13" s="164" t="s">
        <v>83</v>
      </c>
      <c r="F13" s="165">
        <f>F8+F9</f>
        <v>24</v>
      </c>
      <c r="G13" s="166">
        <f>G8+G9</f>
        <v>24</v>
      </c>
      <c r="H13" s="167">
        <f t="shared" ref="H13:K13" si="5">H8+H9</f>
        <v>11</v>
      </c>
      <c r="I13" s="167">
        <f t="shared" si="5"/>
        <v>0</v>
      </c>
      <c r="J13" s="167">
        <f t="shared" si="5"/>
        <v>1</v>
      </c>
      <c r="K13" s="167">
        <f t="shared" si="5"/>
        <v>12</v>
      </c>
      <c r="L13" s="222">
        <f>IFERROR((L8+L9)/2,"")</f>
        <v>0.97443609022556388</v>
      </c>
      <c r="M13" s="222">
        <f>IFERROR((M8+M9)/2,"")</f>
        <v>0.43253968253968245</v>
      </c>
      <c r="N13" s="219">
        <f>IFERROR((N8+N9)/2,"")</f>
        <v>46.318977591036415</v>
      </c>
      <c r="O13" s="168">
        <f t="shared" ref="O13:P13" si="6">O8+O9</f>
        <v>11</v>
      </c>
      <c r="P13" s="168">
        <f t="shared" si="6"/>
        <v>0</v>
      </c>
      <c r="Q13" s="168">
        <f t="shared" ref="Q13:S13" si="7">Q8+Q9</f>
        <v>0</v>
      </c>
      <c r="R13" s="168">
        <f t="shared" si="7"/>
        <v>12</v>
      </c>
      <c r="S13" s="168">
        <f t="shared" si="7"/>
        <v>1</v>
      </c>
    </row>
    <row r="14" spans="1:19" ht="43.95" customHeight="1" thickBot="1" x14ac:dyDescent="0.35">
      <c r="A14" s="169" t="str">
        <f>A10</f>
        <v>Grade 2</v>
      </c>
      <c r="B14" s="170" t="str">
        <f t="shared" si="2"/>
        <v>WISDOM</v>
      </c>
      <c r="C14" s="170" t="str">
        <f t="shared" si="3"/>
        <v xml:space="preserve"> </v>
      </c>
      <c r="D14" s="170" t="str">
        <f t="shared" si="4"/>
        <v>Filipino</v>
      </c>
      <c r="E14" s="171" t="s">
        <v>83</v>
      </c>
      <c r="F14" s="172">
        <f>F10+F11</f>
        <v>24</v>
      </c>
      <c r="G14" s="173">
        <f t="shared" ref="G14:K14" si="8">G10+G11</f>
        <v>24</v>
      </c>
      <c r="H14" s="174">
        <f t="shared" si="8"/>
        <v>11</v>
      </c>
      <c r="I14" s="174">
        <f t="shared" si="8"/>
        <v>0</v>
      </c>
      <c r="J14" s="174">
        <f t="shared" si="8"/>
        <v>1</v>
      </c>
      <c r="K14" s="174">
        <f t="shared" si="8"/>
        <v>12</v>
      </c>
      <c r="L14" s="223">
        <f>IFERROR((L10+L11)/2,"")</f>
        <v>0.97443609022556388</v>
      </c>
      <c r="M14" s="223" t="str">
        <f t="shared" ref="M14:N14" si="9">IFERROR((M10+M11)/2,"")</f>
        <v/>
      </c>
      <c r="N14" s="220">
        <f t="shared" si="9"/>
        <v>46.318977591036415</v>
      </c>
      <c r="O14" s="175">
        <f t="shared" ref="O14:S14" si="10">O10+O11</f>
        <v>11</v>
      </c>
      <c r="P14" s="175">
        <f t="shared" si="10"/>
        <v>0</v>
      </c>
      <c r="Q14" s="175">
        <f t="shared" si="10"/>
        <v>0</v>
      </c>
      <c r="R14" s="175">
        <f t="shared" si="10"/>
        <v>12</v>
      </c>
      <c r="S14" s="175">
        <f t="shared" si="10"/>
        <v>1</v>
      </c>
    </row>
    <row r="15" spans="1:19" ht="15" thickBot="1" x14ac:dyDescent="0.35"/>
    <row r="16" spans="1:19" x14ac:dyDescent="0.3">
      <c r="A16" s="359"/>
      <c r="B16" s="360"/>
      <c r="C16" s="240"/>
      <c r="D16" s="363" t="s">
        <v>104</v>
      </c>
      <c r="E16" s="363"/>
      <c r="F16" s="363"/>
      <c r="G16" s="363"/>
      <c r="H16" s="363"/>
      <c r="I16" s="363"/>
      <c r="J16" s="363"/>
      <c r="K16" s="363"/>
      <c r="L16" s="363"/>
      <c r="M16" s="363"/>
      <c r="N16" s="363"/>
      <c r="O16" s="364"/>
      <c r="P16" s="224"/>
    </row>
    <row r="17" spans="1:16" ht="14.4" customHeight="1" x14ac:dyDescent="0.3">
      <c r="A17" s="241"/>
      <c r="B17" s="242"/>
      <c r="C17" s="243"/>
      <c r="D17" s="358" t="s">
        <v>179</v>
      </c>
      <c r="E17" s="358"/>
      <c r="F17" s="358"/>
      <c r="G17" s="358"/>
      <c r="H17" s="365" t="s">
        <v>185</v>
      </c>
      <c r="I17" s="366"/>
      <c r="J17" s="367"/>
      <c r="K17" s="358" t="s">
        <v>103</v>
      </c>
      <c r="L17" s="358"/>
      <c r="M17" s="358"/>
      <c r="N17" s="358"/>
      <c r="O17" s="368"/>
      <c r="P17" s="224"/>
    </row>
    <row r="18" spans="1:16" ht="36" x14ac:dyDescent="0.3">
      <c r="A18" s="237" t="s">
        <v>22</v>
      </c>
      <c r="B18" s="238" t="s">
        <v>31</v>
      </c>
      <c r="C18" s="239" t="s">
        <v>32</v>
      </c>
      <c r="D18" s="193" t="s">
        <v>24</v>
      </c>
      <c r="E18" s="193" t="s">
        <v>33</v>
      </c>
      <c r="F18" s="193" t="s">
        <v>25</v>
      </c>
      <c r="G18" s="193" t="s">
        <v>26</v>
      </c>
      <c r="H18" s="193" t="s">
        <v>181</v>
      </c>
      <c r="I18" s="193" t="s">
        <v>182</v>
      </c>
      <c r="J18" s="193" t="s">
        <v>186</v>
      </c>
      <c r="K18" s="216" t="s">
        <v>158</v>
      </c>
      <c r="L18" s="216" t="s">
        <v>159</v>
      </c>
      <c r="M18" s="216" t="s">
        <v>162</v>
      </c>
      <c r="N18" s="216" t="s">
        <v>164</v>
      </c>
      <c r="O18" s="217" t="s">
        <v>166</v>
      </c>
      <c r="P18" s="227"/>
    </row>
    <row r="19" spans="1:16" x14ac:dyDescent="0.3">
      <c r="A19" s="5" t="str">
        <f>D8</f>
        <v>Tagalog</v>
      </c>
      <c r="B19" s="8" t="s">
        <v>81</v>
      </c>
      <c r="C19" s="31">
        <f>IFERROR(G8/F8,"")</f>
        <v>1</v>
      </c>
      <c r="D19" s="31">
        <f t="shared" ref="D19:G20" si="11">IFERROR(H8/$G8,"")</f>
        <v>0.46153846153846156</v>
      </c>
      <c r="E19" s="31">
        <f t="shared" si="11"/>
        <v>0</v>
      </c>
      <c r="F19" s="31">
        <f t="shared" si="11"/>
        <v>7.6923076923076927E-2</v>
      </c>
      <c r="G19" s="31">
        <f t="shared" si="11"/>
        <v>0.46153846153846156</v>
      </c>
      <c r="H19" s="31">
        <f>L8</f>
        <v>0.94887218045112776</v>
      </c>
      <c r="I19" s="31">
        <f t="shared" ref="I19:J19" si="12">M8</f>
        <v>0.30952380952380948</v>
      </c>
      <c r="J19" s="228">
        <f t="shared" si="12"/>
        <v>45.071428571428569</v>
      </c>
      <c r="K19" s="36">
        <f>IFERROR(O8/$G8,"")</f>
        <v>0.46153846153846156</v>
      </c>
      <c r="L19" s="36">
        <f t="shared" ref="L19:O19" si="13">IFERROR(P8/$G8,"")</f>
        <v>0</v>
      </c>
      <c r="M19" s="36">
        <f t="shared" si="13"/>
        <v>0</v>
      </c>
      <c r="N19" s="36">
        <f t="shared" si="13"/>
        <v>0.53846153846153844</v>
      </c>
      <c r="O19" s="37">
        <f t="shared" si="13"/>
        <v>0</v>
      </c>
      <c r="P19" s="224"/>
    </row>
    <row r="20" spans="1:16" x14ac:dyDescent="0.3">
      <c r="A20" s="5" t="str">
        <f>A19</f>
        <v>Tagalog</v>
      </c>
      <c r="B20" s="8" t="s">
        <v>82</v>
      </c>
      <c r="C20" s="32">
        <f>IFERROR(G9/F9,"")</f>
        <v>1</v>
      </c>
      <c r="D20" s="32">
        <f t="shared" si="11"/>
        <v>0.45454545454545453</v>
      </c>
      <c r="E20" s="32">
        <f t="shared" si="11"/>
        <v>0</v>
      </c>
      <c r="F20" s="32">
        <f t="shared" si="11"/>
        <v>0</v>
      </c>
      <c r="G20" s="32">
        <f t="shared" si="11"/>
        <v>0.54545454545454541</v>
      </c>
      <c r="H20" s="32">
        <f>L9</f>
        <v>1</v>
      </c>
      <c r="I20" s="32">
        <f t="shared" ref="I20" si="14">M9</f>
        <v>0.55555555555555547</v>
      </c>
      <c r="J20" s="229">
        <f t="shared" ref="J20" si="15">N9</f>
        <v>47.566526610644253</v>
      </c>
      <c r="K20" s="38">
        <f>IFERROR(O9/$G9,"")</f>
        <v>0.45454545454545453</v>
      </c>
      <c r="L20" s="38">
        <f t="shared" ref="L20" si="16">IFERROR(P9/$G9,"")</f>
        <v>0</v>
      </c>
      <c r="M20" s="38">
        <f t="shared" ref="M20" si="17">IFERROR(Q9/$G9,"")</f>
        <v>0</v>
      </c>
      <c r="N20" s="38">
        <f t="shared" ref="N20" si="18">IFERROR(R9/$G9,"")</f>
        <v>0.45454545454545453</v>
      </c>
      <c r="O20" s="39">
        <f t="shared" ref="O20" si="19">IFERROR(S9/$G9,"")</f>
        <v>9.0909090909090912E-2</v>
      </c>
      <c r="P20" s="224"/>
    </row>
    <row r="21" spans="1:16" ht="15" thickBot="1" x14ac:dyDescent="0.35">
      <c r="A21" s="33" t="str">
        <f>A20</f>
        <v>Tagalog</v>
      </c>
      <c r="B21" s="34" t="s">
        <v>83</v>
      </c>
      <c r="C21" s="35">
        <f>IFERROR(G13/F13,"")</f>
        <v>1</v>
      </c>
      <c r="D21" s="35">
        <f t="shared" ref="D21:G21" si="20">IFERROR(H13/$G13,"")</f>
        <v>0.45833333333333331</v>
      </c>
      <c r="E21" s="35">
        <f t="shared" si="20"/>
        <v>0</v>
      </c>
      <c r="F21" s="35">
        <f t="shared" si="20"/>
        <v>4.1666666666666664E-2</v>
      </c>
      <c r="G21" s="35">
        <f t="shared" si="20"/>
        <v>0.5</v>
      </c>
      <c r="H21" s="35">
        <f t="shared" ref="H21:J21" si="21">L13</f>
        <v>0.97443609022556388</v>
      </c>
      <c r="I21" s="35">
        <f t="shared" si="21"/>
        <v>0.43253968253968245</v>
      </c>
      <c r="J21" s="230">
        <f t="shared" si="21"/>
        <v>46.318977591036415</v>
      </c>
      <c r="K21" s="231">
        <f>IFERROR(O13/$G13,"")</f>
        <v>0.45833333333333331</v>
      </c>
      <c r="L21" s="40">
        <f t="shared" ref="L21:O21" si="22">IFERROR(P13/$G13,"")</f>
        <v>0</v>
      </c>
      <c r="M21" s="40">
        <f t="shared" si="22"/>
        <v>0</v>
      </c>
      <c r="N21" s="40">
        <f t="shared" si="22"/>
        <v>0.5</v>
      </c>
      <c r="O21" s="41">
        <f t="shared" si="22"/>
        <v>4.1666666666666664E-2</v>
      </c>
      <c r="P21" s="224"/>
    </row>
    <row r="22" spans="1:16" x14ac:dyDescent="0.3">
      <c r="A22" s="12" t="str">
        <f>D11</f>
        <v>Filipino</v>
      </c>
      <c r="B22" s="232" t="s">
        <v>81</v>
      </c>
      <c r="C22" s="233">
        <f>IFERROR(G10/F10,"")</f>
        <v>1</v>
      </c>
      <c r="D22" s="233">
        <f>IFERROR(H10/$G10,"")</f>
        <v>0.46153846153846156</v>
      </c>
      <c r="E22" s="233">
        <f t="shared" ref="E22:G22" si="23">IFERROR(I10/$G10,"")</f>
        <v>0</v>
      </c>
      <c r="F22" s="233">
        <f t="shared" si="23"/>
        <v>7.6923076923076927E-2</v>
      </c>
      <c r="G22" s="233">
        <f t="shared" si="23"/>
        <v>0.46153846153846156</v>
      </c>
      <c r="H22" s="233">
        <f t="shared" ref="H22:J22" si="24">L10</f>
        <v>0.94887218045112776</v>
      </c>
      <c r="I22" s="233">
        <f t="shared" si="24"/>
        <v>0.30952380952380948</v>
      </c>
      <c r="J22" s="234">
        <f t="shared" si="24"/>
        <v>45.071428571428569</v>
      </c>
      <c r="K22" s="235">
        <f>IFERROR(O10/$G10,"")</f>
        <v>0.46153846153846156</v>
      </c>
      <c r="L22" s="235">
        <f t="shared" ref="L22:O22" si="25">IFERROR(P10/$G10,"")</f>
        <v>0</v>
      </c>
      <c r="M22" s="235">
        <f t="shared" si="25"/>
        <v>0</v>
      </c>
      <c r="N22" s="235">
        <f t="shared" si="25"/>
        <v>0.53846153846153844</v>
      </c>
      <c r="O22" s="236">
        <f t="shared" si="25"/>
        <v>0</v>
      </c>
      <c r="P22" s="224"/>
    </row>
    <row r="23" spans="1:16" x14ac:dyDescent="0.3">
      <c r="A23" s="5" t="str">
        <f>A22</f>
        <v>Filipino</v>
      </c>
      <c r="B23" s="8" t="s">
        <v>82</v>
      </c>
      <c r="C23" s="32">
        <f>IFERROR(G11/F11,"")</f>
        <v>1</v>
      </c>
      <c r="D23" s="32">
        <f>IFERROR(H11/$G11,"")</f>
        <v>0.45454545454545453</v>
      </c>
      <c r="E23" s="32">
        <f t="shared" ref="E23" si="26">IFERROR(I11/$G11,"")</f>
        <v>0</v>
      </c>
      <c r="F23" s="32">
        <f t="shared" ref="F23" si="27">IFERROR(J11/$G11,"")</f>
        <v>0</v>
      </c>
      <c r="G23" s="32">
        <f t="shared" ref="G23" si="28">IFERROR(K11/$G11,"")</f>
        <v>0.54545454545454541</v>
      </c>
      <c r="H23" s="31">
        <f t="shared" ref="H23" si="29">L11</f>
        <v>1</v>
      </c>
      <c r="I23" s="31" t="str">
        <f t="shared" ref="I23" si="30">M11</f>
        <v/>
      </c>
      <c r="J23" s="228">
        <f t="shared" ref="J23" si="31">N11</f>
        <v>47.566526610644253</v>
      </c>
      <c r="K23" s="38">
        <f>IFERROR(O11/$G11,"")</f>
        <v>0.45454545454545453</v>
      </c>
      <c r="L23" s="38">
        <f t="shared" ref="L23" si="32">IFERROR(P11/$G11,"")</f>
        <v>0</v>
      </c>
      <c r="M23" s="38">
        <f t="shared" ref="M23" si="33">IFERROR(Q11/$G11,"")</f>
        <v>0</v>
      </c>
      <c r="N23" s="38">
        <f t="shared" ref="N23" si="34">IFERROR(R11/$G11,"")</f>
        <v>0.45454545454545453</v>
      </c>
      <c r="O23" s="39">
        <f t="shared" ref="O23" si="35">IFERROR(S11/$G11,"")</f>
        <v>9.0909090909090912E-2</v>
      </c>
      <c r="P23" s="224"/>
    </row>
    <row r="24" spans="1:16" ht="15" thickBot="1" x14ac:dyDescent="0.35">
      <c r="A24" s="33" t="str">
        <f>A23</f>
        <v>Filipino</v>
      </c>
      <c r="B24" s="34" t="s">
        <v>83</v>
      </c>
      <c r="C24" s="35">
        <f>IFERROR(G14/F14,"")</f>
        <v>1</v>
      </c>
      <c r="D24" s="35">
        <f>IFERROR(H14/$G14,"")</f>
        <v>0.45833333333333331</v>
      </c>
      <c r="E24" s="35">
        <f t="shared" ref="E24:G24" si="36">IFERROR(I14/$G14,"")</f>
        <v>0</v>
      </c>
      <c r="F24" s="35">
        <f t="shared" si="36"/>
        <v>4.1666666666666664E-2</v>
      </c>
      <c r="G24" s="35">
        <f t="shared" si="36"/>
        <v>0.5</v>
      </c>
      <c r="H24" s="35">
        <f t="shared" ref="H24:J24" si="37">L14</f>
        <v>0.97443609022556388</v>
      </c>
      <c r="I24" s="35" t="str">
        <f t="shared" si="37"/>
        <v/>
      </c>
      <c r="J24" s="230">
        <f t="shared" si="37"/>
        <v>46.318977591036415</v>
      </c>
      <c r="K24" s="40">
        <f>IFERROR(O14/$G14,"")</f>
        <v>0.45833333333333331</v>
      </c>
      <c r="L24" s="40">
        <f t="shared" ref="L24:O24" si="38">IFERROR(P14/$G14,"")</f>
        <v>0</v>
      </c>
      <c r="M24" s="40">
        <f t="shared" si="38"/>
        <v>0</v>
      </c>
      <c r="N24" s="40">
        <f t="shared" si="38"/>
        <v>0.5</v>
      </c>
      <c r="O24" s="41">
        <f t="shared" si="38"/>
        <v>4.1666666666666664E-2</v>
      </c>
      <c r="P24" s="224"/>
    </row>
    <row r="25" spans="1:16" x14ac:dyDescent="0.3">
      <c r="A25" s="225"/>
      <c r="B25" s="225"/>
      <c r="C25" s="226"/>
      <c r="D25" s="226"/>
      <c r="E25" s="226"/>
      <c r="F25" s="226"/>
      <c r="G25" s="226"/>
      <c r="H25" s="226"/>
      <c r="I25" s="226"/>
      <c r="J25" s="226"/>
      <c r="K25" s="226"/>
      <c r="L25" s="226"/>
      <c r="M25" s="226"/>
      <c r="N25" s="226"/>
      <c r="O25" s="226"/>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sheetData>
  <sheetProtection algorithmName="SHA-512" hashValue="aTJ3+DJMS+45OtUswzTriDRyT0y8FU08Y3V4KlVkSzLvR3YOJN9mu+rotay0AzzpuyKXYjY7RE4KuzW8bKBupw==" saltValue="Oycm0J01gQyQp23q2iG+TQ==" spinCount="100000" sheet="1" objects="1" scenarios="1"/>
  <mergeCells count="17">
    <mergeCell ref="Q6:S6"/>
    <mergeCell ref="H6:K6"/>
    <mergeCell ref="D6:D7"/>
    <mergeCell ref="F6:F7"/>
    <mergeCell ref="G6:G7"/>
    <mergeCell ref="E6:E7"/>
    <mergeCell ref="L6:N6"/>
    <mergeCell ref="A4:B4"/>
    <mergeCell ref="A5:B5"/>
    <mergeCell ref="C5:E5"/>
    <mergeCell ref="A2:F2"/>
    <mergeCell ref="D17:G17"/>
    <mergeCell ref="A16:B16"/>
    <mergeCell ref="A6:A7"/>
    <mergeCell ref="D16:O16"/>
    <mergeCell ref="H17:J17"/>
    <mergeCell ref="K17:O17"/>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A7FAB-CB15-41F2-ACD9-5E0FA862256D}">
  <sheetPr codeName="Sheet6"/>
  <dimension ref="A2:E9"/>
  <sheetViews>
    <sheetView topLeftCell="A13" workbookViewId="0">
      <selection activeCell="A4" sqref="A4:XFD9"/>
    </sheetView>
  </sheetViews>
  <sheetFormatPr defaultRowHeight="14.4" x14ac:dyDescent="0.3"/>
  <cols>
    <col min="1" max="1" width="18.6640625" customWidth="1"/>
    <col min="2" max="2" width="24.33203125" customWidth="1"/>
    <col min="3" max="3" width="63.6640625" customWidth="1"/>
    <col min="5" max="5" width="29" customWidth="1"/>
  </cols>
  <sheetData>
    <row r="2" spans="1:5" x14ac:dyDescent="0.3">
      <c r="A2" t="s">
        <v>13</v>
      </c>
    </row>
    <row r="3" spans="1:5" ht="15" thickBot="1" x14ac:dyDescent="0.35"/>
    <row r="4" spans="1:5" ht="19.95" customHeight="1" x14ac:dyDescent="0.3">
      <c r="B4" s="194" t="s">
        <v>155</v>
      </c>
      <c r="C4" s="195" t="s">
        <v>156</v>
      </c>
      <c r="D4" s="377" t="s">
        <v>157</v>
      </c>
      <c r="E4" s="378"/>
    </row>
    <row r="5" spans="1:5" ht="30" customHeight="1" x14ac:dyDescent="0.3">
      <c r="B5" s="196" t="s">
        <v>158</v>
      </c>
      <c r="C5" s="197" t="s">
        <v>168</v>
      </c>
      <c r="D5" s="198"/>
      <c r="E5" s="199"/>
    </row>
    <row r="6" spans="1:5" ht="30" customHeight="1" x14ac:dyDescent="0.3">
      <c r="B6" s="196" t="s">
        <v>159</v>
      </c>
      <c r="C6" s="200" t="s">
        <v>169</v>
      </c>
      <c r="D6" s="198" t="s">
        <v>160</v>
      </c>
      <c r="E6" s="199" t="s">
        <v>161</v>
      </c>
    </row>
    <row r="7" spans="1:5" ht="30" customHeight="1" x14ac:dyDescent="0.3">
      <c r="B7" s="196" t="s">
        <v>162</v>
      </c>
      <c r="C7" s="200" t="s">
        <v>170</v>
      </c>
      <c r="D7" s="198" t="s">
        <v>151</v>
      </c>
      <c r="E7" s="199" t="s">
        <v>163</v>
      </c>
    </row>
    <row r="8" spans="1:5" ht="30" customHeight="1" x14ac:dyDescent="0.3">
      <c r="B8" s="201" t="s">
        <v>164</v>
      </c>
      <c r="C8" s="200" t="s">
        <v>171</v>
      </c>
      <c r="D8" s="198" t="s">
        <v>153</v>
      </c>
      <c r="E8" s="199" t="s">
        <v>165</v>
      </c>
    </row>
    <row r="9" spans="1:5" ht="30" customHeight="1" thickBot="1" x14ac:dyDescent="0.35">
      <c r="B9" s="202" t="s">
        <v>166</v>
      </c>
      <c r="C9" s="203" t="s">
        <v>172</v>
      </c>
      <c r="D9" s="204" t="s">
        <v>152</v>
      </c>
      <c r="E9" s="205" t="s">
        <v>167</v>
      </c>
    </row>
  </sheetData>
  <sheetProtection algorithmName="SHA-512" hashValue="8spLFcUizHVhUVa9S/62eSw0AAh7j7oOieDbk5WEcwlGSlrsf0qWv3OiV46Ia9DZCy8WTc9qiEDUWIVSmkbWNw==" saltValue="mj0cOt7PhaIhK3uUpMymWw==" spinCount="100000" sheet="1" selectLockedCells="1" selectUnlockedCells="1"/>
  <mergeCells count="1">
    <mergeCell ref="D4:E4"/>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B33B-A961-41C5-95A7-E7110ADD0BF4}">
  <sheetPr codeName="Sheet4"/>
  <dimension ref="A1:M35"/>
  <sheetViews>
    <sheetView topLeftCell="C1" workbookViewId="0">
      <selection activeCell="M12" sqref="M12"/>
    </sheetView>
  </sheetViews>
  <sheetFormatPr defaultRowHeight="14.4" x14ac:dyDescent="0.3"/>
  <cols>
    <col min="1" max="1" width="12.33203125" customWidth="1"/>
    <col min="2" max="2" width="22.6640625" customWidth="1"/>
    <col min="3" max="3" width="34.44140625" customWidth="1"/>
    <col min="4" max="4" width="9.33203125" customWidth="1"/>
    <col min="5" max="5" width="18.109375" style="1" customWidth="1"/>
    <col min="6" max="6" width="9.88671875" customWidth="1"/>
    <col min="7" max="7" width="22.88671875" customWidth="1"/>
    <col min="8" max="8" width="10.33203125" style="1" customWidth="1"/>
    <col min="9" max="9" width="19.5546875" style="3" customWidth="1"/>
    <col min="10" max="10" width="19.33203125" style="1" customWidth="1"/>
    <col min="11" max="11" width="8.88671875" style="1"/>
    <col min="12" max="12" width="34.6640625" style="3" customWidth="1"/>
    <col min="13" max="13" width="8.88671875" style="1"/>
  </cols>
  <sheetData>
    <row r="1" spans="1:13" x14ac:dyDescent="0.3">
      <c r="A1" t="s">
        <v>96</v>
      </c>
      <c r="B1" s="9" t="s">
        <v>35</v>
      </c>
      <c r="C1" s="9" t="s">
        <v>22</v>
      </c>
      <c r="D1" s="9"/>
      <c r="F1" t="s">
        <v>119</v>
      </c>
      <c r="G1" t="s">
        <v>22</v>
      </c>
      <c r="H1" s="1" t="s">
        <v>114</v>
      </c>
      <c r="I1" s="3" t="s">
        <v>120</v>
      </c>
      <c r="J1" s="1" t="s">
        <v>121</v>
      </c>
      <c r="K1" s="1" t="s">
        <v>122</v>
      </c>
      <c r="L1" s="3" t="s">
        <v>120</v>
      </c>
      <c r="M1" s="1" t="s">
        <v>121</v>
      </c>
    </row>
    <row r="2" spans="1:13" x14ac:dyDescent="0.3">
      <c r="A2" s="20" t="s">
        <v>97</v>
      </c>
      <c r="B2" t="s">
        <v>36</v>
      </c>
      <c r="C2" s="10" t="s">
        <v>37</v>
      </c>
      <c r="D2" s="10">
        <v>1</v>
      </c>
      <c r="F2" t="s">
        <v>102</v>
      </c>
      <c r="G2" t="s">
        <v>15</v>
      </c>
      <c r="H2" s="1">
        <v>1</v>
      </c>
      <c r="I2" s="3" t="s">
        <v>123</v>
      </c>
      <c r="J2" s="1">
        <v>96</v>
      </c>
      <c r="K2" s="1">
        <v>2</v>
      </c>
      <c r="L2" s="3" t="s">
        <v>124</v>
      </c>
      <c r="M2" s="1">
        <v>94</v>
      </c>
    </row>
    <row r="3" spans="1:13" x14ac:dyDescent="0.3">
      <c r="A3" s="20" t="s">
        <v>98</v>
      </c>
      <c r="B3" t="s">
        <v>38</v>
      </c>
      <c r="C3" s="10" t="s">
        <v>39</v>
      </c>
      <c r="D3" s="10">
        <v>1</v>
      </c>
      <c r="F3" t="s">
        <v>102</v>
      </c>
      <c r="G3" t="s">
        <v>18</v>
      </c>
      <c r="H3" s="1">
        <v>1</v>
      </c>
      <c r="I3" s="3" t="s">
        <v>125</v>
      </c>
      <c r="J3" s="1">
        <v>96</v>
      </c>
      <c r="K3" s="1">
        <v>2</v>
      </c>
      <c r="L3" s="3" t="s">
        <v>126</v>
      </c>
      <c r="M3" s="1">
        <v>95</v>
      </c>
    </row>
    <row r="4" spans="1:13" x14ac:dyDescent="0.3">
      <c r="A4" s="20" t="s">
        <v>99</v>
      </c>
      <c r="B4" t="s">
        <v>40</v>
      </c>
      <c r="C4" s="10" t="s">
        <v>72</v>
      </c>
      <c r="D4" s="10"/>
      <c r="F4" t="s">
        <v>102</v>
      </c>
      <c r="G4" t="s">
        <v>17</v>
      </c>
      <c r="H4" s="1">
        <v>1</v>
      </c>
      <c r="I4" s="3" t="s">
        <v>129</v>
      </c>
      <c r="J4" s="1">
        <v>96</v>
      </c>
      <c r="K4" s="1">
        <v>2</v>
      </c>
      <c r="L4" s="3" t="s">
        <v>130</v>
      </c>
      <c r="M4" s="1">
        <v>95</v>
      </c>
    </row>
    <row r="5" spans="1:13" x14ac:dyDescent="0.3">
      <c r="A5" t="s">
        <v>100</v>
      </c>
      <c r="B5" t="s">
        <v>41</v>
      </c>
      <c r="C5" s="10" t="s">
        <v>73</v>
      </c>
      <c r="D5" s="10"/>
      <c r="F5" t="s">
        <v>102</v>
      </c>
      <c r="G5" t="s">
        <v>16</v>
      </c>
      <c r="H5" s="1">
        <v>1</v>
      </c>
      <c r="I5" s="3" t="s">
        <v>127</v>
      </c>
      <c r="J5" s="1">
        <v>95</v>
      </c>
      <c r="K5" s="1">
        <v>2</v>
      </c>
      <c r="L5" s="3" t="s">
        <v>128</v>
      </c>
      <c r="M5" s="1">
        <v>94</v>
      </c>
    </row>
    <row r="6" spans="1:13" x14ac:dyDescent="0.3">
      <c r="A6" s="20" t="s">
        <v>101</v>
      </c>
      <c r="B6" t="s">
        <v>43</v>
      </c>
      <c r="C6" s="10" t="s">
        <v>74</v>
      </c>
      <c r="D6" s="10"/>
      <c r="F6" t="s">
        <v>102</v>
      </c>
      <c r="G6" t="s">
        <v>109</v>
      </c>
      <c r="H6" s="1">
        <v>1</v>
      </c>
      <c r="I6" s="3" t="s">
        <v>125</v>
      </c>
      <c r="J6" s="1">
        <v>96</v>
      </c>
      <c r="K6" s="1">
        <v>2</v>
      </c>
      <c r="L6" s="3" t="s">
        <v>126</v>
      </c>
      <c r="M6" s="1">
        <v>95</v>
      </c>
    </row>
    <row r="7" spans="1:13" x14ac:dyDescent="0.3">
      <c r="B7" t="s">
        <v>44</v>
      </c>
      <c r="C7" s="10" t="s">
        <v>15</v>
      </c>
      <c r="D7" s="10">
        <v>1</v>
      </c>
      <c r="F7" t="s">
        <v>102</v>
      </c>
      <c r="G7" t="s">
        <v>66</v>
      </c>
      <c r="H7" s="1">
        <v>1</v>
      </c>
      <c r="I7" s="3" t="s">
        <v>137</v>
      </c>
      <c r="J7" s="1">
        <v>95</v>
      </c>
      <c r="K7" s="1">
        <v>2</v>
      </c>
      <c r="L7" s="3" t="s">
        <v>138</v>
      </c>
      <c r="M7" s="1">
        <v>95</v>
      </c>
    </row>
    <row r="8" spans="1:13" x14ac:dyDescent="0.3">
      <c r="B8" t="s">
        <v>46</v>
      </c>
      <c r="C8" t="s">
        <v>42</v>
      </c>
      <c r="D8">
        <v>1</v>
      </c>
      <c r="F8" t="s">
        <v>102</v>
      </c>
      <c r="G8" t="s">
        <v>14</v>
      </c>
      <c r="H8" s="1">
        <v>1</v>
      </c>
      <c r="I8" s="3" t="s">
        <v>139</v>
      </c>
      <c r="J8" s="1">
        <v>96</v>
      </c>
      <c r="K8" s="1">
        <v>2</v>
      </c>
      <c r="L8" s="3" t="s">
        <v>140</v>
      </c>
      <c r="M8" s="1">
        <v>94</v>
      </c>
    </row>
    <row r="9" spans="1:13" x14ac:dyDescent="0.3">
      <c r="B9" t="s">
        <v>48</v>
      </c>
      <c r="C9" s="10" t="s">
        <v>75</v>
      </c>
      <c r="D9" s="10"/>
      <c r="F9" t="s">
        <v>102</v>
      </c>
      <c r="G9" t="s">
        <v>37</v>
      </c>
      <c r="H9" s="1">
        <v>1</v>
      </c>
      <c r="I9" s="3" t="s">
        <v>141</v>
      </c>
      <c r="J9" s="1">
        <v>94</v>
      </c>
      <c r="K9" s="1">
        <v>2</v>
      </c>
      <c r="L9" s="3" t="s">
        <v>142</v>
      </c>
      <c r="M9" s="1">
        <v>94</v>
      </c>
    </row>
    <row r="10" spans="1:13" x14ac:dyDescent="0.3">
      <c r="B10" t="s">
        <v>50</v>
      </c>
      <c r="C10" s="10" t="s">
        <v>14</v>
      </c>
      <c r="D10" s="10">
        <v>1</v>
      </c>
      <c r="F10" t="s">
        <v>102</v>
      </c>
      <c r="G10" t="s">
        <v>118</v>
      </c>
      <c r="H10" s="1">
        <v>1</v>
      </c>
      <c r="I10" s="3" t="s">
        <v>143</v>
      </c>
      <c r="J10" s="1">
        <v>95</v>
      </c>
      <c r="K10" s="1">
        <v>2</v>
      </c>
      <c r="L10" s="3" t="s">
        <v>144</v>
      </c>
      <c r="M10" s="1">
        <v>95</v>
      </c>
    </row>
    <row r="11" spans="1:13" x14ac:dyDescent="0.3">
      <c r="B11" t="s">
        <v>52</v>
      </c>
      <c r="C11" s="10" t="s">
        <v>117</v>
      </c>
      <c r="D11" s="10"/>
      <c r="F11" t="s">
        <v>102</v>
      </c>
      <c r="G11" t="s">
        <v>56</v>
      </c>
      <c r="H11" s="1">
        <v>1</v>
      </c>
      <c r="I11" s="3" t="s">
        <v>149</v>
      </c>
      <c r="J11" s="1">
        <v>95</v>
      </c>
      <c r="K11" s="1">
        <v>2</v>
      </c>
      <c r="L11" s="3" t="s">
        <v>150</v>
      </c>
      <c r="M11" s="1">
        <v>95</v>
      </c>
    </row>
    <row r="12" spans="1:13" x14ac:dyDescent="0.3">
      <c r="B12" t="s">
        <v>54</v>
      </c>
      <c r="C12" s="10" t="s">
        <v>45</v>
      </c>
      <c r="D12" s="10">
        <v>1</v>
      </c>
      <c r="F12" t="s">
        <v>102</v>
      </c>
      <c r="G12" t="s">
        <v>117</v>
      </c>
      <c r="H12" s="1">
        <v>1</v>
      </c>
      <c r="I12" s="3" t="s">
        <v>145</v>
      </c>
      <c r="J12" s="1">
        <v>95</v>
      </c>
      <c r="K12" s="1">
        <v>2</v>
      </c>
      <c r="L12" s="3" t="s">
        <v>146</v>
      </c>
      <c r="M12" s="1">
        <v>95</v>
      </c>
    </row>
    <row r="13" spans="1:13" x14ac:dyDescent="0.3">
      <c r="B13" t="s">
        <v>55</v>
      </c>
      <c r="C13" s="10" t="s">
        <v>47</v>
      </c>
      <c r="D13" s="10">
        <v>1</v>
      </c>
    </row>
    <row r="14" spans="1:13" x14ac:dyDescent="0.3">
      <c r="B14" t="s">
        <v>57</v>
      </c>
      <c r="C14" s="11" t="s">
        <v>49</v>
      </c>
      <c r="D14" s="11"/>
    </row>
    <row r="15" spans="1:13" x14ac:dyDescent="0.3">
      <c r="B15" t="s">
        <v>59</v>
      </c>
      <c r="C15" s="11" t="s">
        <v>51</v>
      </c>
      <c r="D15" s="11">
        <v>1</v>
      </c>
    </row>
    <row r="16" spans="1:13" x14ac:dyDescent="0.3">
      <c r="B16" t="s">
        <v>60</v>
      </c>
      <c r="C16" s="10" t="s">
        <v>53</v>
      </c>
      <c r="D16" s="10">
        <v>1</v>
      </c>
    </row>
    <row r="17" spans="2:4" x14ac:dyDescent="0.3">
      <c r="B17" t="s">
        <v>62</v>
      </c>
      <c r="C17" s="11" t="s">
        <v>118</v>
      </c>
      <c r="D17" s="11">
        <v>1</v>
      </c>
    </row>
    <row r="18" spans="2:4" x14ac:dyDescent="0.3">
      <c r="B18" t="s">
        <v>64</v>
      </c>
      <c r="C18" s="10" t="s">
        <v>56</v>
      </c>
      <c r="D18" s="10">
        <v>1</v>
      </c>
    </row>
    <row r="19" spans="2:4" x14ac:dyDescent="0.3">
      <c r="C19" s="10" t="s">
        <v>58</v>
      </c>
      <c r="D19" s="10">
        <v>1</v>
      </c>
    </row>
    <row r="20" spans="2:4" x14ac:dyDescent="0.3">
      <c r="C20" s="11" t="s">
        <v>16</v>
      </c>
      <c r="D20" s="11"/>
    </row>
    <row r="21" spans="2:4" x14ac:dyDescent="0.3">
      <c r="C21" s="10" t="s">
        <v>61</v>
      </c>
      <c r="D21" s="10"/>
    </row>
    <row r="22" spans="2:4" x14ac:dyDescent="0.3">
      <c r="C22" s="10" t="s">
        <v>76</v>
      </c>
      <c r="D22" s="10"/>
    </row>
    <row r="23" spans="2:4" x14ac:dyDescent="0.3">
      <c r="C23" s="10" t="s">
        <v>78</v>
      </c>
      <c r="D23" s="10"/>
    </row>
    <row r="24" spans="2:4" x14ac:dyDescent="0.3">
      <c r="C24" s="10" t="s">
        <v>63</v>
      </c>
      <c r="D24" s="10">
        <v>1</v>
      </c>
    </row>
    <row r="25" spans="2:4" x14ac:dyDescent="0.3">
      <c r="C25" t="s">
        <v>17</v>
      </c>
    </row>
    <row r="26" spans="2:4" x14ac:dyDescent="0.3">
      <c r="C26" t="s">
        <v>65</v>
      </c>
      <c r="D26">
        <v>1</v>
      </c>
    </row>
    <row r="27" spans="2:4" x14ac:dyDescent="0.3">
      <c r="C27" t="s">
        <v>66</v>
      </c>
      <c r="D27">
        <v>1</v>
      </c>
    </row>
    <row r="28" spans="2:4" x14ac:dyDescent="0.3">
      <c r="C28" t="s">
        <v>77</v>
      </c>
    </row>
    <row r="29" spans="2:4" x14ac:dyDescent="0.3">
      <c r="C29" t="s">
        <v>67</v>
      </c>
    </row>
    <row r="30" spans="2:4" x14ac:dyDescent="0.3">
      <c r="C30" t="s">
        <v>68</v>
      </c>
      <c r="D30">
        <v>1</v>
      </c>
    </row>
    <row r="31" spans="2:4" x14ac:dyDescent="0.3">
      <c r="C31" t="s">
        <v>18</v>
      </c>
      <c r="D31">
        <v>1</v>
      </c>
    </row>
    <row r="32" spans="2:4" x14ac:dyDescent="0.3">
      <c r="C32" t="s">
        <v>69</v>
      </c>
      <c r="D32">
        <v>1</v>
      </c>
    </row>
    <row r="33" spans="3:4" x14ac:dyDescent="0.3">
      <c r="C33" t="s">
        <v>79</v>
      </c>
    </row>
    <row r="34" spans="3:4" x14ac:dyDescent="0.3">
      <c r="C34" t="s">
        <v>70</v>
      </c>
      <c r="D34">
        <v>1</v>
      </c>
    </row>
    <row r="35" spans="3:4" x14ac:dyDescent="0.3">
      <c r="C35" t="s">
        <v>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40F74CC-5DFF-417A-B2F6-72C59B026C2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G2 MT Reading Scoresheet</vt:lpstr>
      <vt:lpstr>G2 FIL Reading Scoresheet</vt:lpstr>
      <vt:lpstr>Class Record</vt:lpstr>
      <vt:lpstr>Class Summary</vt:lpstr>
      <vt:lpstr>Scoring Reference</vt:lpstr>
      <vt:lpstr>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Emil Monroy</dc:creator>
  <cp:lastModifiedBy>Jxnny Lyn</cp:lastModifiedBy>
  <cp:lastPrinted>2021-08-18T02:11:00Z</cp:lastPrinted>
  <dcterms:created xsi:type="dcterms:W3CDTF">2021-07-15T02:28:12Z</dcterms:created>
  <dcterms:modified xsi:type="dcterms:W3CDTF">2026-08-05T14:03:58Z</dcterms:modified>
</cp:coreProperties>
</file>